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Math\Desktop\"/>
    </mc:Choice>
  </mc:AlternateContent>
  <bookViews>
    <workbookView xWindow="0" yWindow="0" windowWidth="21600" windowHeight="9630" firstSheet="2" activeTab="2"/>
  </bookViews>
  <sheets>
    <sheet name="Probs_Hombres" sheetId="1" r:id="rId1"/>
    <sheet name="Probs_Mujeres" sheetId="2" r:id="rId2"/>
    <sheet name="Mujeres_lxt" sheetId="4" r:id="rId3"/>
    <sheet name="Hombres_lxt" sheetId="3" r:id="rId4"/>
    <sheet name="seguros de vida entera" sheetId="5" r:id="rId5"/>
    <sheet name="TABLA SIMBOLOS CONMUTADOS" sheetId="6" r:id="rId6"/>
  </sheets>
  <functionGroups builtInGroupCount="18"/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8" i="4" l="1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B98" i="3"/>
  <c r="N3" i="6"/>
  <c r="F3" i="6"/>
  <c r="E1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A97" i="6"/>
  <c r="A98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4" i="6"/>
  <c r="F4" i="6" s="1"/>
  <c r="A5" i="6"/>
  <c r="B3" i="6"/>
  <c r="C4" i="6" s="1"/>
  <c r="A3" i="6"/>
  <c r="K18" i="5"/>
  <c r="J21" i="5"/>
  <c r="K15" i="5"/>
  <c r="F5" i="6" l="1"/>
  <c r="C5" i="6"/>
  <c r="D4" i="6" s="1"/>
  <c r="E4" i="6" s="1"/>
  <c r="D3" i="6"/>
  <c r="E3" i="6" s="1"/>
  <c r="B100" i="1"/>
  <c r="C6" i="6" l="1"/>
  <c r="B8" i="5"/>
  <c r="A8" i="5" s="1"/>
  <c r="W57" i="4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E69" i="4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W79" i="4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AB88" i="4"/>
  <c r="AB89" i="4" s="1"/>
  <c r="AB90" i="4" s="1"/>
  <c r="AB91" i="4" s="1"/>
  <c r="AB92" i="4" s="1"/>
  <c r="AB93" i="4" s="1"/>
  <c r="AB94" i="4" s="1"/>
  <c r="AB95" i="4" s="1"/>
  <c r="AB96" i="4" s="1"/>
  <c r="AB97" i="4" s="1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D3" i="4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F3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G3" i="4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H3" i="4"/>
  <c r="H4" i="4" s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I3" i="4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J3" i="4"/>
  <c r="J4" i="4" s="1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K3" i="4"/>
  <c r="K4" i="4" s="1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L3" i="4"/>
  <c r="L4" i="4" s="1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N3" i="4"/>
  <c r="N4" i="4" s="1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O3" i="4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P3" i="4"/>
  <c r="P4" i="4" s="1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Q3" i="4"/>
  <c r="Q4" i="4" s="1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R3" i="4"/>
  <c r="R4" i="4" s="1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S3" i="4"/>
  <c r="S4" i="4" s="1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T3" i="4"/>
  <c r="T4" i="4" s="1"/>
  <c r="T5" i="4" s="1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U3" i="4"/>
  <c r="U4" i="4" s="1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V3" i="4"/>
  <c r="V4" i="4" s="1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W3" i="4"/>
  <c r="W4" i="4" s="1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X3" i="4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Y3" i="4"/>
  <c r="Y4" i="4" s="1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Z3" i="4"/>
  <c r="Z4" i="4" s="1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AA3" i="4"/>
  <c r="AA4" i="4" s="1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B3" i="4"/>
  <c r="AB4" i="4" s="1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C3" i="4"/>
  <c r="AC4" i="4" s="1"/>
  <c r="AC5" i="4" s="1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D3" i="4"/>
  <c r="AD4" i="4" s="1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E3" i="4"/>
  <c r="AE4" i="4" s="1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F3" i="4"/>
  <c r="AF4" i="4" s="1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G3" i="4"/>
  <c r="AG4" i="4" s="1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H3" i="4"/>
  <c r="AH4" i="4" s="1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P3" i="3"/>
  <c r="P4" i="3" s="1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V3" i="3"/>
  <c r="V4" i="3" s="1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W3" i="3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X3" i="3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Y3" i="3"/>
  <c r="Y4" i="3" s="1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Z3" i="3"/>
  <c r="Z4" i="3" s="1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AA3" i="3"/>
  <c r="AA4" i="3" s="1"/>
  <c r="AA5" i="3" s="1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B3" i="3"/>
  <c r="AB4" i="3" s="1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C3" i="3"/>
  <c r="AC4" i="3" s="1"/>
  <c r="AC5" i="3" s="1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D3" i="3"/>
  <c r="AD4" i="3" s="1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E3" i="3"/>
  <c r="AE4" i="3" s="1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F3" i="3"/>
  <c r="AF4" i="3" s="1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G3" i="3"/>
  <c r="AG4" i="3" s="1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H3" i="3"/>
  <c r="AH4" i="3" s="1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3" i="3"/>
  <c r="A2" i="3"/>
  <c r="D5" i="6" l="1"/>
  <c r="E5" i="6" s="1"/>
  <c r="F6" i="6"/>
  <c r="C7" i="6"/>
  <c r="F7" i="6" s="1"/>
  <c r="B38" i="3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C102" i="3"/>
  <c r="D8" i="5"/>
  <c r="C8" i="5"/>
  <c r="B9" i="5"/>
  <c r="B10" i="5" s="1"/>
  <c r="A10" i="5" s="1"/>
  <c r="F10" i="5" s="1"/>
  <c r="F8" i="5"/>
  <c r="G8" i="5" s="1"/>
  <c r="A9" i="5"/>
  <c r="D6" i="6" l="1"/>
  <c r="E6" i="6" s="1"/>
  <c r="C8" i="6"/>
  <c r="C9" i="5"/>
  <c r="G9" i="5" s="1"/>
  <c r="E9" i="5"/>
  <c r="B11" i="5"/>
  <c r="E10" i="5"/>
  <c r="C10" i="5"/>
  <c r="D10" i="5"/>
  <c r="F9" i="5"/>
  <c r="D9" i="5"/>
  <c r="H8" i="5"/>
  <c r="B12" i="5"/>
  <c r="A11" i="5"/>
  <c r="C11" i="5" s="1"/>
  <c r="D7" i="6" l="1"/>
  <c r="E7" i="6" s="1"/>
  <c r="F8" i="6"/>
  <c r="C9" i="6"/>
  <c r="F9" i="6" s="1"/>
  <c r="G10" i="5"/>
  <c r="H10" i="5"/>
  <c r="H9" i="5"/>
  <c r="E11" i="5"/>
  <c r="F11" i="5"/>
  <c r="D11" i="5"/>
  <c r="A12" i="5"/>
  <c r="C12" i="5" s="1"/>
  <c r="B13" i="5"/>
  <c r="D8" i="6" l="1"/>
  <c r="E8" i="6" s="1"/>
  <c r="C10" i="6"/>
  <c r="F10" i="6" s="1"/>
  <c r="D9" i="6"/>
  <c r="E9" i="6" s="1"/>
  <c r="H11" i="5"/>
  <c r="G11" i="5"/>
  <c r="E12" i="5"/>
  <c r="F12" i="5"/>
  <c r="D12" i="5"/>
  <c r="B14" i="5"/>
  <c r="A13" i="5"/>
  <c r="C13" i="5" s="1"/>
  <c r="C11" i="6" l="1"/>
  <c r="F11" i="6" s="1"/>
  <c r="G12" i="5"/>
  <c r="H12" i="5"/>
  <c r="D13" i="5"/>
  <c r="E13" i="5"/>
  <c r="G13" i="5" s="1"/>
  <c r="F13" i="5"/>
  <c r="B15" i="5"/>
  <c r="A14" i="5"/>
  <c r="C14" i="5" s="1"/>
  <c r="D10" i="6" l="1"/>
  <c r="E10" i="6" s="1"/>
  <c r="C12" i="6"/>
  <c r="F12" i="6" s="1"/>
  <c r="D11" i="6"/>
  <c r="E11" i="6" s="1"/>
  <c r="D14" i="5"/>
  <c r="E14" i="5"/>
  <c r="F14" i="5"/>
  <c r="H13" i="5"/>
  <c r="A15" i="5"/>
  <c r="C15" i="5" s="1"/>
  <c r="B16" i="5"/>
  <c r="C13" i="6" l="1"/>
  <c r="F13" i="6" s="1"/>
  <c r="H14" i="5"/>
  <c r="D15" i="5"/>
  <c r="E15" i="5"/>
  <c r="G15" i="5" s="1"/>
  <c r="F15" i="5"/>
  <c r="G14" i="5"/>
  <c r="A16" i="5"/>
  <c r="C16" i="5" s="1"/>
  <c r="B17" i="5"/>
  <c r="C14" i="6" l="1"/>
  <c r="D12" i="6"/>
  <c r="E12" i="6" s="1"/>
  <c r="D16" i="5"/>
  <c r="E16" i="5"/>
  <c r="G16" i="5" s="1"/>
  <c r="F16" i="5"/>
  <c r="H15" i="5"/>
  <c r="B18" i="5"/>
  <c r="A17" i="5"/>
  <c r="C17" i="5" s="1"/>
  <c r="D13" i="6" l="1"/>
  <c r="E13" i="6" s="1"/>
  <c r="F14" i="6"/>
  <c r="C15" i="6"/>
  <c r="F15" i="6" s="1"/>
  <c r="D14" i="6"/>
  <c r="E14" i="6" s="1"/>
  <c r="H16" i="5"/>
  <c r="F17" i="5"/>
  <c r="D17" i="5"/>
  <c r="E17" i="5"/>
  <c r="G17" i="5" s="1"/>
  <c r="A18" i="5"/>
  <c r="C18" i="5" s="1"/>
  <c r="B19" i="5"/>
  <c r="C16" i="6" l="1"/>
  <c r="F16" i="6" s="1"/>
  <c r="D15" i="6"/>
  <c r="E15" i="6" s="1"/>
  <c r="H17" i="5"/>
  <c r="F18" i="5"/>
  <c r="D18" i="5"/>
  <c r="E18" i="5"/>
  <c r="G18" i="5" s="1"/>
  <c r="B20" i="5"/>
  <c r="A19" i="5"/>
  <c r="C19" i="5" s="1"/>
  <c r="C17" i="6" l="1"/>
  <c r="H18" i="5"/>
  <c r="E19" i="5"/>
  <c r="F19" i="5"/>
  <c r="D19" i="5"/>
  <c r="B21" i="5"/>
  <c r="A20" i="5"/>
  <c r="C20" i="5" s="1"/>
  <c r="D16" i="6" l="1"/>
  <c r="E16" i="6" s="1"/>
  <c r="F17" i="6"/>
  <c r="C18" i="6"/>
  <c r="F18" i="6" s="1"/>
  <c r="D17" i="6"/>
  <c r="E17" i="6" s="1"/>
  <c r="G19" i="5"/>
  <c r="H19" i="5"/>
  <c r="E20" i="5"/>
  <c r="G20" i="5" s="1"/>
  <c r="F20" i="5"/>
  <c r="D20" i="5"/>
  <c r="B22" i="5"/>
  <c r="A21" i="5"/>
  <c r="C21" i="5" s="1"/>
  <c r="C19" i="6" l="1"/>
  <c r="F19" i="6" s="1"/>
  <c r="D18" i="6"/>
  <c r="E18" i="6" s="1"/>
  <c r="H20" i="5"/>
  <c r="D21" i="5"/>
  <c r="E21" i="5"/>
  <c r="G21" i="5" s="1"/>
  <c r="F21" i="5"/>
  <c r="B23" i="5"/>
  <c r="A22" i="5"/>
  <c r="C22" i="5" s="1"/>
  <c r="C20" i="6" l="1"/>
  <c r="F20" i="6" s="1"/>
  <c r="D22" i="5"/>
  <c r="E22" i="5"/>
  <c r="G22" i="5" s="1"/>
  <c r="F22" i="5"/>
  <c r="H21" i="5"/>
  <c r="A23" i="5"/>
  <c r="C23" i="5" s="1"/>
  <c r="B24" i="5"/>
  <c r="D19" i="6" l="1"/>
  <c r="E19" i="6" s="1"/>
  <c r="C21" i="6"/>
  <c r="F21" i="6" s="1"/>
  <c r="D23" i="5"/>
  <c r="E23" i="5"/>
  <c r="G23" i="5" s="1"/>
  <c r="F23" i="5"/>
  <c r="H22" i="5"/>
  <c r="A24" i="5"/>
  <c r="C24" i="5" s="1"/>
  <c r="B25" i="5"/>
  <c r="C22" i="6" l="1"/>
  <c r="F22" i="6" s="1"/>
  <c r="D21" i="6"/>
  <c r="E21" i="6" s="1"/>
  <c r="D20" i="6"/>
  <c r="E20" i="6" s="1"/>
  <c r="D24" i="5"/>
  <c r="E24" i="5"/>
  <c r="G24" i="5" s="1"/>
  <c r="F24" i="5"/>
  <c r="H23" i="5"/>
  <c r="B26" i="5"/>
  <c r="A25" i="5"/>
  <c r="C25" i="5" s="1"/>
  <c r="C23" i="6" l="1"/>
  <c r="H24" i="5"/>
  <c r="F25" i="5"/>
  <c r="D25" i="5"/>
  <c r="E25" i="5"/>
  <c r="G25" i="5" s="1"/>
  <c r="A26" i="5"/>
  <c r="C26" i="5" s="1"/>
  <c r="B27" i="5"/>
  <c r="D22" i="6" l="1"/>
  <c r="E22" i="6" s="1"/>
  <c r="F23" i="6"/>
  <c r="C24" i="6"/>
  <c r="F24" i="6" s="1"/>
  <c r="D23" i="6"/>
  <c r="E23" i="6" s="1"/>
  <c r="H25" i="5"/>
  <c r="F26" i="5"/>
  <c r="D26" i="5"/>
  <c r="E26" i="5"/>
  <c r="G26" i="5" s="1"/>
  <c r="B28" i="5"/>
  <c r="A27" i="5"/>
  <c r="C27" i="5" s="1"/>
  <c r="C25" i="6" l="1"/>
  <c r="F25" i="6" s="1"/>
  <c r="H26" i="5"/>
  <c r="E27" i="5"/>
  <c r="G27" i="5" s="1"/>
  <c r="F27" i="5"/>
  <c r="D27" i="5"/>
  <c r="A28" i="5"/>
  <c r="C28" i="5" s="1"/>
  <c r="B29" i="5"/>
  <c r="D24" i="6" l="1"/>
  <c r="E24" i="6" s="1"/>
  <c r="C26" i="6"/>
  <c r="F26" i="6" s="1"/>
  <c r="D25" i="6"/>
  <c r="E25" i="6" s="1"/>
  <c r="H27" i="5"/>
  <c r="E28" i="5"/>
  <c r="F28" i="5"/>
  <c r="D28" i="5"/>
  <c r="B30" i="5"/>
  <c r="A29" i="5"/>
  <c r="C29" i="5" s="1"/>
  <c r="C27" i="6" l="1"/>
  <c r="F27" i="6" s="1"/>
  <c r="D26" i="6"/>
  <c r="E26" i="6" s="1"/>
  <c r="G28" i="5"/>
  <c r="H28" i="5"/>
  <c r="D29" i="5"/>
  <c r="E29" i="5"/>
  <c r="F29" i="5"/>
  <c r="B31" i="5"/>
  <c r="A30" i="5"/>
  <c r="C30" i="5" s="1"/>
  <c r="C28" i="6" l="1"/>
  <c r="F28" i="6" s="1"/>
  <c r="D27" i="6"/>
  <c r="E27" i="6" s="1"/>
  <c r="G29" i="5"/>
  <c r="D30" i="5"/>
  <c r="E30" i="5"/>
  <c r="G30" i="5" s="1"/>
  <c r="F30" i="5"/>
  <c r="H29" i="5"/>
  <c r="B32" i="5"/>
  <c r="A31" i="5"/>
  <c r="C31" i="5" s="1"/>
  <c r="C29" i="6" l="1"/>
  <c r="F29" i="6" s="1"/>
  <c r="D28" i="6"/>
  <c r="E28" i="6" s="1"/>
  <c r="H30" i="5"/>
  <c r="D31" i="5"/>
  <c r="E31" i="5"/>
  <c r="F31" i="5"/>
  <c r="A32" i="5"/>
  <c r="C32" i="5" s="1"/>
  <c r="B33" i="5"/>
  <c r="C30" i="6" l="1"/>
  <c r="G31" i="5"/>
  <c r="D32" i="5"/>
  <c r="E32" i="5"/>
  <c r="H32" i="5" s="1"/>
  <c r="F32" i="5"/>
  <c r="H31" i="5"/>
  <c r="B34" i="5"/>
  <c r="A33" i="5"/>
  <c r="C33" i="5" s="1"/>
  <c r="D29" i="6" l="1"/>
  <c r="E29" i="6" s="1"/>
  <c r="F30" i="6"/>
  <c r="C31" i="6"/>
  <c r="F31" i="6" s="1"/>
  <c r="G32" i="5"/>
  <c r="F33" i="5"/>
  <c r="D33" i="5"/>
  <c r="E33" i="5"/>
  <c r="G33" i="5" s="1"/>
  <c r="A34" i="5"/>
  <c r="C34" i="5" s="1"/>
  <c r="B35" i="5"/>
  <c r="D30" i="6" l="1"/>
  <c r="E30" i="6" s="1"/>
  <c r="C32" i="6"/>
  <c r="F32" i="6" s="1"/>
  <c r="H33" i="5"/>
  <c r="F34" i="5"/>
  <c r="D34" i="5"/>
  <c r="E34" i="5"/>
  <c r="G34" i="5" s="1"/>
  <c r="A35" i="5"/>
  <c r="C35" i="5" s="1"/>
  <c r="B36" i="5"/>
  <c r="C33" i="6" l="1"/>
  <c r="F33" i="6" s="1"/>
  <c r="D32" i="6"/>
  <c r="E32" i="6" s="1"/>
  <c r="D31" i="6"/>
  <c r="E31" i="6" s="1"/>
  <c r="H34" i="5"/>
  <c r="E35" i="5"/>
  <c r="F35" i="5"/>
  <c r="D35" i="5"/>
  <c r="B37" i="5"/>
  <c r="A36" i="5"/>
  <c r="C36" i="5" s="1"/>
  <c r="C34" i="6" l="1"/>
  <c r="F34" i="6" s="1"/>
  <c r="H35" i="5"/>
  <c r="G35" i="5"/>
  <c r="E36" i="5"/>
  <c r="G36" i="5" s="1"/>
  <c r="F36" i="5"/>
  <c r="D36" i="5"/>
  <c r="B38" i="5"/>
  <c r="A37" i="5"/>
  <c r="C37" i="5" s="1"/>
  <c r="C35" i="6" l="1"/>
  <c r="D33" i="6"/>
  <c r="E33" i="6" s="1"/>
  <c r="H36" i="5"/>
  <c r="D37" i="5"/>
  <c r="E37" i="5"/>
  <c r="F37" i="5"/>
  <c r="A38" i="5"/>
  <c r="C38" i="5" s="1"/>
  <c r="B39" i="5"/>
  <c r="D34" i="6" l="1"/>
  <c r="E34" i="6" s="1"/>
  <c r="F35" i="6"/>
  <c r="C36" i="6"/>
  <c r="F36" i="6" s="1"/>
  <c r="D35" i="6"/>
  <c r="E35" i="6" s="1"/>
  <c r="G37" i="5"/>
  <c r="D38" i="5"/>
  <c r="E38" i="5"/>
  <c r="F38" i="5"/>
  <c r="H37" i="5"/>
  <c r="B40" i="5"/>
  <c r="A39" i="5"/>
  <c r="C39" i="5" s="1"/>
  <c r="C37" i="6" l="1"/>
  <c r="F37" i="6" s="1"/>
  <c r="G38" i="5"/>
  <c r="H38" i="5"/>
  <c r="D39" i="5"/>
  <c r="E39" i="5"/>
  <c r="G39" i="5" s="1"/>
  <c r="F39" i="5"/>
  <c r="A40" i="5"/>
  <c r="C40" i="5" s="1"/>
  <c r="B41" i="5"/>
  <c r="D36" i="6" l="1"/>
  <c r="E36" i="6" s="1"/>
  <c r="C38" i="6"/>
  <c r="F38" i="6" s="1"/>
  <c r="D40" i="5"/>
  <c r="F40" i="5"/>
  <c r="E40" i="5"/>
  <c r="G40" i="5" s="1"/>
  <c r="H39" i="5"/>
  <c r="A41" i="5"/>
  <c r="C41" i="5" s="1"/>
  <c r="B42" i="5"/>
  <c r="D37" i="6" l="1"/>
  <c r="E37" i="6" s="1"/>
  <c r="C39" i="6"/>
  <c r="F39" i="6" s="1"/>
  <c r="D38" i="6"/>
  <c r="E38" i="6" s="1"/>
  <c r="F41" i="5"/>
  <c r="D41" i="5"/>
  <c r="E41" i="5"/>
  <c r="H40" i="5"/>
  <c r="A42" i="5"/>
  <c r="C42" i="5" s="1"/>
  <c r="B43" i="5"/>
  <c r="C40" i="6" l="1"/>
  <c r="F40" i="6" s="1"/>
  <c r="D39" i="6"/>
  <c r="E39" i="6" s="1"/>
  <c r="G41" i="5"/>
  <c r="H41" i="5"/>
  <c r="F42" i="5"/>
  <c r="D42" i="5"/>
  <c r="E42" i="5"/>
  <c r="G42" i="5" s="1"/>
  <c r="B44" i="5"/>
  <c r="A43" i="5"/>
  <c r="C43" i="5" s="1"/>
  <c r="C41" i="6" l="1"/>
  <c r="H42" i="5"/>
  <c r="E43" i="5"/>
  <c r="G43" i="5" s="1"/>
  <c r="F43" i="5"/>
  <c r="D43" i="5"/>
  <c r="B45" i="5"/>
  <c r="A44" i="5"/>
  <c r="C44" i="5" s="1"/>
  <c r="D40" i="6" l="1"/>
  <c r="E40" i="6" s="1"/>
  <c r="F41" i="6"/>
  <c r="C42" i="6"/>
  <c r="F42" i="6" s="1"/>
  <c r="D41" i="6"/>
  <c r="E41" i="6" s="1"/>
  <c r="H43" i="5"/>
  <c r="E44" i="5"/>
  <c r="G44" i="5" s="1"/>
  <c r="F44" i="5"/>
  <c r="D44" i="5"/>
  <c r="A45" i="5"/>
  <c r="C45" i="5" s="1"/>
  <c r="B46" i="5"/>
  <c r="C43" i="6" l="1"/>
  <c r="F43" i="6" s="1"/>
  <c r="D42" i="6"/>
  <c r="E42" i="6" s="1"/>
  <c r="H44" i="5"/>
  <c r="D45" i="5"/>
  <c r="E45" i="5"/>
  <c r="G45" i="5" s="1"/>
  <c r="F45" i="5"/>
  <c r="A46" i="5"/>
  <c r="C46" i="5" s="1"/>
  <c r="B47" i="5"/>
  <c r="C44" i="6" l="1"/>
  <c r="F44" i="6" s="1"/>
  <c r="D43" i="6"/>
  <c r="E43" i="6" s="1"/>
  <c r="D46" i="5"/>
  <c r="E46" i="5"/>
  <c r="G46" i="5" s="1"/>
  <c r="F46" i="5"/>
  <c r="H45" i="5"/>
  <c r="A47" i="5"/>
  <c r="C47" i="5" s="1"/>
  <c r="B48" i="5"/>
  <c r="C45" i="6" l="1"/>
  <c r="F45" i="6" s="1"/>
  <c r="D47" i="5"/>
  <c r="E47" i="5"/>
  <c r="G47" i="5" s="1"/>
  <c r="F47" i="5"/>
  <c r="H46" i="5"/>
  <c r="A48" i="5"/>
  <c r="C48" i="5" s="1"/>
  <c r="B49" i="5"/>
  <c r="D44" i="6" l="1"/>
  <c r="E44" i="6" s="1"/>
  <c r="C46" i="6"/>
  <c r="F46" i="6" s="1"/>
  <c r="D48" i="5"/>
  <c r="E48" i="5"/>
  <c r="G48" i="5" s="1"/>
  <c r="F48" i="5"/>
  <c r="H47" i="5"/>
  <c r="B50" i="5"/>
  <c r="A49" i="5"/>
  <c r="C49" i="5" s="1"/>
  <c r="D45" i="6" l="1"/>
  <c r="E45" i="6" s="1"/>
  <c r="C47" i="6"/>
  <c r="F47" i="6" s="1"/>
  <c r="D46" i="6"/>
  <c r="E46" i="6" s="1"/>
  <c r="H48" i="5"/>
  <c r="F49" i="5"/>
  <c r="D49" i="5"/>
  <c r="E49" i="5"/>
  <c r="G49" i="5" s="1"/>
  <c r="A50" i="5"/>
  <c r="C50" i="5" s="1"/>
  <c r="B51" i="5"/>
  <c r="C48" i="6" l="1"/>
  <c r="F48" i="6" s="1"/>
  <c r="D47" i="6"/>
  <c r="E47" i="6" s="1"/>
  <c r="H49" i="5"/>
  <c r="F50" i="5"/>
  <c r="D50" i="5"/>
  <c r="E50" i="5"/>
  <c r="G50" i="5" s="1"/>
  <c r="A51" i="5"/>
  <c r="C51" i="5" s="1"/>
  <c r="B52" i="5"/>
  <c r="C49" i="6" l="1"/>
  <c r="F49" i="6" s="1"/>
  <c r="D48" i="6"/>
  <c r="E48" i="6" s="1"/>
  <c r="H50" i="5"/>
  <c r="E51" i="5"/>
  <c r="G51" i="5" s="1"/>
  <c r="F51" i="5"/>
  <c r="D51" i="5"/>
  <c r="B53" i="5"/>
  <c r="A52" i="5"/>
  <c r="C52" i="5" s="1"/>
  <c r="C50" i="6" l="1"/>
  <c r="F50" i="6" s="1"/>
  <c r="D49" i="6"/>
  <c r="E49" i="6" s="1"/>
  <c r="H51" i="5"/>
  <c r="E52" i="5"/>
  <c r="G52" i="5" s="1"/>
  <c r="F52" i="5"/>
  <c r="D52" i="5"/>
  <c r="B54" i="5"/>
  <c r="A53" i="5"/>
  <c r="C53" i="5" s="1"/>
  <c r="C51" i="6" l="1"/>
  <c r="F51" i="6" s="1"/>
  <c r="H52" i="5"/>
  <c r="D53" i="5"/>
  <c r="E53" i="5"/>
  <c r="G53" i="5" s="1"/>
  <c r="F53" i="5"/>
  <c r="B55" i="5"/>
  <c r="A54" i="5"/>
  <c r="C54" i="5" s="1"/>
  <c r="C52" i="6" l="1"/>
  <c r="D50" i="6"/>
  <c r="E50" i="6" s="1"/>
  <c r="D54" i="5"/>
  <c r="E54" i="5"/>
  <c r="G54" i="5" s="1"/>
  <c r="F54" i="5"/>
  <c r="H53" i="5"/>
  <c r="B56" i="5"/>
  <c r="A55" i="5"/>
  <c r="C55" i="5" s="1"/>
  <c r="D51" i="6" l="1"/>
  <c r="E51" i="6" s="1"/>
  <c r="F52" i="6"/>
  <c r="C53" i="6"/>
  <c r="H54" i="5"/>
  <c r="D55" i="5"/>
  <c r="E55" i="5"/>
  <c r="G55" i="5" s="1"/>
  <c r="F55" i="5"/>
  <c r="A56" i="5"/>
  <c r="C56" i="5" s="1"/>
  <c r="B57" i="5"/>
  <c r="D52" i="6" l="1"/>
  <c r="E52" i="6" s="1"/>
  <c r="F53" i="6"/>
  <c r="C54" i="6"/>
  <c r="F54" i="6" s="1"/>
  <c r="D53" i="6"/>
  <c r="E53" i="6" s="1"/>
  <c r="D56" i="5"/>
  <c r="E56" i="5"/>
  <c r="G56" i="5" s="1"/>
  <c r="F56" i="5"/>
  <c r="H55" i="5"/>
  <c r="A57" i="5"/>
  <c r="C57" i="5" s="1"/>
  <c r="B58" i="5"/>
  <c r="C55" i="6" l="1"/>
  <c r="F55" i="6" s="1"/>
  <c r="D54" i="6"/>
  <c r="E54" i="6" s="1"/>
  <c r="H56" i="5"/>
  <c r="F57" i="5"/>
  <c r="D57" i="5"/>
  <c r="E57" i="5"/>
  <c r="G57" i="5" s="1"/>
  <c r="A58" i="5"/>
  <c r="C58" i="5" s="1"/>
  <c r="B59" i="5"/>
  <c r="C56" i="6" l="1"/>
  <c r="F56" i="6" s="1"/>
  <c r="D55" i="6"/>
  <c r="E55" i="6" s="1"/>
  <c r="H57" i="5"/>
  <c r="F58" i="5"/>
  <c r="D58" i="5"/>
  <c r="E58" i="5"/>
  <c r="G58" i="5" s="1"/>
  <c r="A59" i="5"/>
  <c r="C59" i="5" s="1"/>
  <c r="B60" i="5"/>
  <c r="C57" i="6" l="1"/>
  <c r="F57" i="6" s="1"/>
  <c r="H58" i="5"/>
  <c r="E59" i="5"/>
  <c r="F59" i="5"/>
  <c r="D59" i="5"/>
  <c r="B61" i="5"/>
  <c r="A60" i="5"/>
  <c r="C60" i="5" s="1"/>
  <c r="C58" i="6" l="1"/>
  <c r="D56" i="6"/>
  <c r="E56" i="6" s="1"/>
  <c r="H59" i="5"/>
  <c r="G59" i="5"/>
  <c r="E60" i="5"/>
  <c r="G60" i="5" s="1"/>
  <c r="F60" i="5"/>
  <c r="D60" i="5"/>
  <c r="B62" i="5"/>
  <c r="A61" i="5"/>
  <c r="C61" i="5" s="1"/>
  <c r="D57" i="6" l="1"/>
  <c r="E57" i="6" s="1"/>
  <c r="F58" i="6"/>
  <c r="C59" i="6"/>
  <c r="F59" i="6" s="1"/>
  <c r="D58" i="6"/>
  <c r="E58" i="6" s="1"/>
  <c r="H60" i="5"/>
  <c r="D61" i="5"/>
  <c r="E61" i="5"/>
  <c r="G61" i="5" s="1"/>
  <c r="F61" i="5"/>
  <c r="B63" i="5"/>
  <c r="A62" i="5"/>
  <c r="C62" i="5" s="1"/>
  <c r="C60" i="6" l="1"/>
  <c r="F60" i="6" s="1"/>
  <c r="D62" i="5"/>
  <c r="E62" i="5"/>
  <c r="G62" i="5" s="1"/>
  <c r="F62" i="5"/>
  <c r="H61" i="5"/>
  <c r="A63" i="5"/>
  <c r="C63" i="5" s="1"/>
  <c r="B64" i="5"/>
  <c r="D59" i="6" l="1"/>
  <c r="E59" i="6" s="1"/>
  <c r="C61" i="6"/>
  <c r="F61" i="6" s="1"/>
  <c r="D60" i="6"/>
  <c r="E60" i="6" s="1"/>
  <c r="D63" i="5"/>
  <c r="E63" i="5"/>
  <c r="G63" i="5" s="1"/>
  <c r="F63" i="5"/>
  <c r="H62" i="5"/>
  <c r="A64" i="5"/>
  <c r="C64" i="5" s="1"/>
  <c r="B65" i="5"/>
  <c r="C62" i="6" l="1"/>
  <c r="F62" i="6" s="1"/>
  <c r="D61" i="6"/>
  <c r="E61" i="6" s="1"/>
  <c r="D64" i="5"/>
  <c r="E64" i="5"/>
  <c r="G64" i="5" s="1"/>
  <c r="F64" i="5"/>
  <c r="H63" i="5"/>
  <c r="A65" i="5"/>
  <c r="C65" i="5" s="1"/>
  <c r="B66" i="5"/>
  <c r="C63" i="6" l="1"/>
  <c r="F63" i="6" s="1"/>
  <c r="D62" i="6"/>
  <c r="E62" i="6" s="1"/>
  <c r="F65" i="5"/>
  <c r="D65" i="5"/>
  <c r="E65" i="5"/>
  <c r="G65" i="5" s="1"/>
  <c r="H64" i="5"/>
  <c r="B67" i="5"/>
  <c r="A66" i="5"/>
  <c r="C66" i="5" s="1"/>
  <c r="C64" i="6" l="1"/>
  <c r="F64" i="6" s="1"/>
  <c r="D63" i="6"/>
  <c r="E63" i="6" s="1"/>
  <c r="H65" i="5"/>
  <c r="F66" i="5"/>
  <c r="D66" i="5"/>
  <c r="E66" i="5"/>
  <c r="G66" i="5" s="1"/>
  <c r="B68" i="5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A67" i="5"/>
  <c r="C67" i="5" s="1"/>
  <c r="C65" i="6" l="1"/>
  <c r="F65" i="6" s="1"/>
  <c r="D64" i="6"/>
  <c r="E64" i="6" s="1"/>
  <c r="H66" i="5"/>
  <c r="E67" i="5"/>
  <c r="F67" i="5"/>
  <c r="D67" i="5"/>
  <c r="A68" i="5"/>
  <c r="C68" i="5" s="1"/>
  <c r="C66" i="6" l="1"/>
  <c r="F66" i="6" s="1"/>
  <c r="H67" i="5"/>
  <c r="G67" i="5"/>
  <c r="E68" i="5"/>
  <c r="F68" i="5"/>
  <c r="D68" i="5"/>
  <c r="J9" i="5"/>
  <c r="C67" i="6" l="1"/>
  <c r="D65" i="6"/>
  <c r="E65" i="6" s="1"/>
  <c r="H68" i="5"/>
  <c r="G68" i="5"/>
  <c r="J8" i="5" s="1"/>
  <c r="J12" i="5" s="1"/>
  <c r="L8" i="5" s="1"/>
  <c r="D66" i="6" l="1"/>
  <c r="E66" i="6" s="1"/>
  <c r="F67" i="6"/>
  <c r="C68" i="6"/>
  <c r="F68" i="6" s="1"/>
  <c r="C69" i="6" l="1"/>
  <c r="F69" i="6" s="1"/>
  <c r="D68" i="6"/>
  <c r="E68" i="6" s="1"/>
  <c r="D67" i="6"/>
  <c r="E67" i="6" s="1"/>
  <c r="C70" i="6" l="1"/>
  <c r="F70" i="6" s="1"/>
  <c r="D69" i="6"/>
  <c r="E69" i="6" s="1"/>
  <c r="C71" i="6" l="1"/>
  <c r="F71" i="6" s="1"/>
  <c r="D70" i="6"/>
  <c r="E70" i="6" s="1"/>
  <c r="C72" i="6" l="1"/>
  <c r="F72" i="6" s="1"/>
  <c r="C73" i="6" l="1"/>
  <c r="F73" i="6" s="1"/>
  <c r="D71" i="6"/>
  <c r="E71" i="6" s="1"/>
  <c r="C74" i="6" l="1"/>
  <c r="D72" i="6"/>
  <c r="E72" i="6" s="1"/>
  <c r="D73" i="6" l="1"/>
  <c r="E73" i="6" s="1"/>
  <c r="F74" i="6"/>
  <c r="C75" i="6"/>
  <c r="F75" i="6" s="1"/>
  <c r="D74" i="6"/>
  <c r="E74" i="6" s="1"/>
  <c r="C76" i="6" l="1"/>
  <c r="F76" i="6" s="1"/>
  <c r="D75" i="6"/>
  <c r="E75" i="6" s="1"/>
  <c r="C77" i="6" l="1"/>
  <c r="D76" i="6" l="1"/>
  <c r="E76" i="6" s="1"/>
  <c r="F77" i="6"/>
  <c r="C78" i="6"/>
  <c r="F78" i="6" s="1"/>
  <c r="D77" i="6"/>
  <c r="E77" i="6" s="1"/>
  <c r="C79" i="6" l="1"/>
  <c r="F79" i="6" s="1"/>
  <c r="D78" i="6"/>
  <c r="E78" i="6" s="1"/>
  <c r="C80" i="6" l="1"/>
  <c r="D79" i="6" l="1"/>
  <c r="E79" i="6" s="1"/>
  <c r="F80" i="6"/>
  <c r="C81" i="6"/>
  <c r="F81" i="6" s="1"/>
  <c r="D80" i="6" l="1"/>
  <c r="E80" i="6" s="1"/>
  <c r="C82" i="6"/>
  <c r="F82" i="6" s="1"/>
  <c r="C83" i="6" l="1"/>
  <c r="F83" i="6" s="1"/>
  <c r="D82" i="6"/>
  <c r="E82" i="6" s="1"/>
  <c r="D81" i="6"/>
  <c r="E81" i="6" s="1"/>
  <c r="C84" i="6" l="1"/>
  <c r="F84" i="6" s="1"/>
  <c r="D83" i="6" l="1"/>
  <c r="E83" i="6" s="1"/>
  <c r="C85" i="6"/>
  <c r="F85" i="6" s="1"/>
  <c r="C86" i="6" l="1"/>
  <c r="F86" i="6" s="1"/>
  <c r="D85" i="6"/>
  <c r="E85" i="6" s="1"/>
  <c r="D84" i="6"/>
  <c r="E84" i="6" s="1"/>
  <c r="C87" i="6" l="1"/>
  <c r="F87" i="6" s="1"/>
  <c r="D86" i="6"/>
  <c r="E86" i="6" s="1"/>
  <c r="C88" i="6" l="1"/>
  <c r="F88" i="6" s="1"/>
  <c r="D87" i="6"/>
  <c r="E87" i="6" s="1"/>
  <c r="C89" i="6" l="1"/>
  <c r="D88" i="6" l="1"/>
  <c r="E88" i="6" s="1"/>
  <c r="F89" i="6"/>
  <c r="C90" i="6"/>
  <c r="F90" i="6" s="1"/>
  <c r="D89" i="6" l="1"/>
  <c r="E89" i="6" s="1"/>
  <c r="C91" i="6"/>
  <c r="F91" i="6" s="1"/>
  <c r="D90" i="6"/>
  <c r="E90" i="6" s="1"/>
  <c r="C92" i="6" l="1"/>
  <c r="F92" i="6" s="1"/>
  <c r="D91" i="6"/>
  <c r="E91" i="6" s="1"/>
  <c r="C93" i="6" l="1"/>
  <c r="F93" i="6" s="1"/>
  <c r="C94" i="6" l="1"/>
  <c r="F94" i="6" s="1"/>
  <c r="D92" i="6"/>
  <c r="E92" i="6" s="1"/>
  <c r="D93" i="6" l="1"/>
  <c r="E93" i="6" s="1"/>
  <c r="C95" i="6"/>
  <c r="F95" i="6" s="1"/>
  <c r="C96" i="6" l="1"/>
  <c r="F96" i="6" s="1"/>
  <c r="D94" i="6"/>
  <c r="E94" i="6" s="1"/>
  <c r="C97" i="6" l="1"/>
  <c r="D95" i="6"/>
  <c r="E95" i="6" s="1"/>
  <c r="D96" i="6" l="1"/>
  <c r="E96" i="6" s="1"/>
  <c r="F97" i="6"/>
  <c r="C98" i="6"/>
  <c r="D97" i="6"/>
  <c r="E97" i="6" s="1"/>
  <c r="D98" i="6" l="1"/>
  <c r="E98" i="6" s="1"/>
  <c r="G97" i="6" s="1"/>
  <c r="F98" i="6"/>
  <c r="I97" i="6"/>
  <c r="I92" i="6"/>
  <c r="I95" i="6"/>
  <c r="I93" i="6"/>
  <c r="G94" i="6"/>
  <c r="G88" i="6"/>
  <c r="G89" i="6"/>
  <c r="G92" i="6"/>
  <c r="I98" i="6" l="1"/>
  <c r="J98" i="6" s="1"/>
  <c r="I3" i="6"/>
  <c r="I4" i="6"/>
  <c r="I5" i="6"/>
  <c r="I7" i="6"/>
  <c r="I6" i="6"/>
  <c r="I9" i="6"/>
  <c r="I10" i="6"/>
  <c r="I8" i="6"/>
  <c r="I12" i="6"/>
  <c r="I11" i="6"/>
  <c r="I13" i="6"/>
  <c r="I15" i="6"/>
  <c r="I16" i="6"/>
  <c r="I19" i="6"/>
  <c r="I14" i="6"/>
  <c r="I18" i="6"/>
  <c r="I17" i="6"/>
  <c r="I20" i="6"/>
  <c r="I21" i="6"/>
  <c r="I22" i="6"/>
  <c r="I24" i="6"/>
  <c r="I25" i="6"/>
  <c r="I23" i="6"/>
  <c r="I31" i="6"/>
  <c r="I27" i="6"/>
  <c r="I26" i="6"/>
  <c r="I29" i="6"/>
  <c r="I28" i="6"/>
  <c r="I32" i="6"/>
  <c r="I34" i="6"/>
  <c r="I30" i="6"/>
  <c r="I36" i="6"/>
  <c r="I33" i="6"/>
  <c r="I37" i="6"/>
  <c r="I35" i="6"/>
  <c r="I38" i="6"/>
  <c r="I39" i="6"/>
  <c r="I40" i="6"/>
  <c r="I43" i="6"/>
  <c r="I42" i="6"/>
  <c r="I41" i="6"/>
  <c r="I44" i="6"/>
  <c r="I46" i="6"/>
  <c r="I45" i="6"/>
  <c r="I47" i="6"/>
  <c r="I49" i="6"/>
  <c r="I48" i="6"/>
  <c r="I50" i="6"/>
  <c r="I51" i="6"/>
  <c r="I55" i="6"/>
  <c r="I52" i="6"/>
  <c r="I53" i="6"/>
  <c r="I54" i="6"/>
  <c r="I57" i="6"/>
  <c r="I56" i="6"/>
  <c r="I59" i="6"/>
  <c r="I61" i="6"/>
  <c r="I58" i="6"/>
  <c r="I60" i="6"/>
  <c r="I62" i="6"/>
  <c r="I63" i="6"/>
  <c r="I65" i="6"/>
  <c r="I66" i="6"/>
  <c r="I64" i="6"/>
  <c r="I68" i="6"/>
  <c r="I69" i="6"/>
  <c r="I67" i="6"/>
  <c r="I72" i="6"/>
  <c r="I70" i="6"/>
  <c r="I71" i="6"/>
  <c r="I73" i="6"/>
  <c r="I75" i="6"/>
  <c r="I74" i="6"/>
  <c r="J74" i="6" s="1"/>
  <c r="I76" i="6"/>
  <c r="I78" i="6"/>
  <c r="I77" i="6"/>
  <c r="I79" i="6"/>
  <c r="I81" i="6"/>
  <c r="I82" i="6"/>
  <c r="I80" i="6"/>
  <c r="I83" i="6"/>
  <c r="J83" i="6" s="1"/>
  <c r="I84" i="6"/>
  <c r="I86" i="6"/>
  <c r="I85" i="6"/>
  <c r="I90" i="6"/>
  <c r="I87" i="6"/>
  <c r="I88" i="6"/>
  <c r="I91" i="6"/>
  <c r="I89" i="6"/>
  <c r="J89" i="6" s="1"/>
  <c r="G96" i="6"/>
  <c r="J97" i="6"/>
  <c r="G98" i="6"/>
  <c r="H98" i="6" s="1"/>
  <c r="G4" i="6"/>
  <c r="G3" i="6"/>
  <c r="G5" i="6"/>
  <c r="G6" i="6"/>
  <c r="G9" i="6"/>
  <c r="G7" i="6"/>
  <c r="G8" i="6"/>
  <c r="G11" i="6"/>
  <c r="G10" i="6"/>
  <c r="G12" i="6"/>
  <c r="G14" i="6"/>
  <c r="G13" i="6"/>
  <c r="G17" i="6"/>
  <c r="G15" i="6"/>
  <c r="G18" i="6"/>
  <c r="G16" i="6"/>
  <c r="G21" i="6"/>
  <c r="G19" i="6"/>
  <c r="G20" i="6"/>
  <c r="G23" i="6"/>
  <c r="G26" i="6"/>
  <c r="G25" i="6"/>
  <c r="G22" i="6"/>
  <c r="G24" i="6"/>
  <c r="G27" i="6"/>
  <c r="G28" i="6"/>
  <c r="G29" i="6"/>
  <c r="G30" i="6"/>
  <c r="G32" i="6"/>
  <c r="G35" i="6"/>
  <c r="G31" i="6"/>
  <c r="G34" i="6"/>
  <c r="G33" i="6"/>
  <c r="G37" i="6"/>
  <c r="G38" i="6"/>
  <c r="G36" i="6"/>
  <c r="G41" i="6"/>
  <c r="G39" i="6"/>
  <c r="G40" i="6"/>
  <c r="G42" i="6"/>
  <c r="G43" i="6"/>
  <c r="G46" i="6"/>
  <c r="G44" i="6"/>
  <c r="G45" i="6"/>
  <c r="G47" i="6"/>
  <c r="G48" i="6"/>
  <c r="G53" i="6"/>
  <c r="G49" i="6"/>
  <c r="G51" i="6"/>
  <c r="G52" i="6"/>
  <c r="G50" i="6"/>
  <c r="H50" i="6" s="1"/>
  <c r="G54" i="6"/>
  <c r="G55" i="6"/>
  <c r="G58" i="6"/>
  <c r="G56" i="6"/>
  <c r="G61" i="6"/>
  <c r="G60" i="6"/>
  <c r="G57" i="6"/>
  <c r="G59" i="6"/>
  <c r="G63" i="6"/>
  <c r="G62" i="6"/>
  <c r="G64" i="6"/>
  <c r="G65" i="6"/>
  <c r="G67" i="6"/>
  <c r="G66" i="6"/>
  <c r="G68" i="6"/>
  <c r="G69" i="6"/>
  <c r="G70" i="6"/>
  <c r="G72" i="6"/>
  <c r="G71" i="6"/>
  <c r="G73" i="6"/>
  <c r="G74" i="6"/>
  <c r="G75" i="6"/>
  <c r="G78" i="6"/>
  <c r="G77" i="6"/>
  <c r="G80" i="6"/>
  <c r="G76" i="6"/>
  <c r="G79" i="6"/>
  <c r="G81" i="6"/>
  <c r="G82" i="6"/>
  <c r="G86" i="6"/>
  <c r="G84" i="6"/>
  <c r="G85" i="6"/>
  <c r="G83" i="6"/>
  <c r="G87" i="6"/>
  <c r="G90" i="6"/>
  <c r="H88" i="6" s="1"/>
  <c r="G91" i="6"/>
  <c r="G93" i="6"/>
  <c r="H92" i="6" s="1"/>
  <c r="I96" i="6"/>
  <c r="J96" i="6" s="1"/>
  <c r="I94" i="6"/>
  <c r="G95" i="6"/>
  <c r="H95" i="6" s="1"/>
  <c r="H59" i="6" l="1"/>
  <c r="H29" i="6"/>
  <c r="J68" i="6"/>
  <c r="J61" i="6"/>
  <c r="J12" i="6"/>
  <c r="J3" i="6"/>
  <c r="J94" i="6"/>
  <c r="H84" i="6"/>
  <c r="H78" i="6"/>
  <c r="H68" i="6"/>
  <c r="H57" i="6"/>
  <c r="H52" i="6"/>
  <c r="H46" i="6"/>
  <c r="H37" i="6"/>
  <c r="H28" i="6"/>
  <c r="H19" i="6"/>
  <c r="H12" i="6"/>
  <c r="H3" i="6"/>
  <c r="J91" i="6"/>
  <c r="J80" i="6"/>
  <c r="J75" i="6"/>
  <c r="J64" i="6"/>
  <c r="J59" i="6"/>
  <c r="J50" i="6"/>
  <c r="J42" i="6"/>
  <c r="J36" i="6"/>
  <c r="J31" i="6"/>
  <c r="J18" i="6"/>
  <c r="J8" i="6"/>
  <c r="H69" i="6"/>
  <c r="H44" i="6"/>
  <c r="J41" i="6"/>
  <c r="H86" i="6"/>
  <c r="H43" i="6"/>
  <c r="H4" i="6"/>
  <c r="J48" i="6"/>
  <c r="J14" i="6"/>
  <c r="H74" i="6"/>
  <c r="H67" i="6"/>
  <c r="H61" i="6"/>
  <c r="H49" i="6"/>
  <c r="H42" i="6"/>
  <c r="H34" i="6"/>
  <c r="H24" i="6"/>
  <c r="H16" i="6"/>
  <c r="H11" i="6"/>
  <c r="J87" i="6"/>
  <c r="J81" i="6"/>
  <c r="J71" i="6"/>
  <c r="J65" i="6"/>
  <c r="J57" i="6"/>
  <c r="J49" i="6"/>
  <c r="J40" i="6"/>
  <c r="J34" i="6"/>
  <c r="J25" i="6"/>
  <c r="J19" i="6"/>
  <c r="J9" i="6"/>
  <c r="H89" i="6"/>
  <c r="H14" i="6"/>
  <c r="J27" i="6"/>
  <c r="H75" i="6"/>
  <c r="H33" i="6"/>
  <c r="J73" i="6"/>
  <c r="J10" i="6"/>
  <c r="H65" i="6"/>
  <c r="H56" i="6"/>
  <c r="H53" i="6"/>
  <c r="H40" i="6"/>
  <c r="H31" i="6"/>
  <c r="H22" i="6"/>
  <c r="H18" i="6"/>
  <c r="H8" i="6"/>
  <c r="J90" i="6"/>
  <c r="J79" i="6"/>
  <c r="J70" i="6"/>
  <c r="J63" i="6"/>
  <c r="J54" i="6"/>
  <c r="J47" i="6"/>
  <c r="J39" i="6"/>
  <c r="J32" i="6"/>
  <c r="J24" i="6"/>
  <c r="J16" i="6"/>
  <c r="J6" i="6"/>
  <c r="H5" i="6"/>
  <c r="J33" i="6"/>
  <c r="H66" i="6"/>
  <c r="H27" i="6"/>
  <c r="J82" i="6"/>
  <c r="J23" i="6"/>
  <c r="H93" i="6"/>
  <c r="H91" i="6"/>
  <c r="H71" i="6"/>
  <c r="H64" i="6"/>
  <c r="H58" i="6"/>
  <c r="H48" i="6"/>
  <c r="H39" i="6"/>
  <c r="H35" i="6"/>
  <c r="H25" i="6"/>
  <c r="H15" i="6"/>
  <c r="H7" i="6"/>
  <c r="J92" i="6"/>
  <c r="J85" i="6"/>
  <c r="J77" i="6"/>
  <c r="J72" i="6"/>
  <c r="J62" i="6"/>
  <c r="J53" i="6"/>
  <c r="J45" i="6"/>
  <c r="J38" i="6"/>
  <c r="J28" i="6"/>
  <c r="J22" i="6"/>
  <c r="J15" i="6"/>
  <c r="J7" i="6"/>
  <c r="H77" i="6"/>
  <c r="H38" i="6"/>
  <c r="J51" i="6"/>
  <c r="H51" i="6"/>
  <c r="H10" i="6"/>
  <c r="J66" i="6"/>
  <c r="J30" i="6"/>
  <c r="H82" i="6"/>
  <c r="H81" i="6"/>
  <c r="H79" i="6"/>
  <c r="H87" i="6"/>
  <c r="H72" i="6"/>
  <c r="H62" i="6"/>
  <c r="H55" i="6"/>
  <c r="H47" i="6"/>
  <c r="H41" i="6"/>
  <c r="H32" i="6"/>
  <c r="H26" i="6"/>
  <c r="H17" i="6"/>
  <c r="H9" i="6"/>
  <c r="J93" i="6"/>
  <c r="J86" i="6"/>
  <c r="J78" i="6"/>
  <c r="J67" i="6"/>
  <c r="J60" i="6"/>
  <c r="J52" i="6"/>
  <c r="J46" i="6"/>
  <c r="J35" i="6"/>
  <c r="J29" i="6"/>
  <c r="J21" i="6"/>
  <c r="J13" i="6"/>
  <c r="J5" i="6"/>
  <c r="J95" i="6"/>
  <c r="H85" i="6"/>
  <c r="H20" i="6"/>
  <c r="J17" i="6"/>
  <c r="H60" i="6"/>
  <c r="H21" i="6"/>
  <c r="J88" i="6"/>
  <c r="J56" i="6"/>
  <c r="J43" i="6"/>
  <c r="H94" i="6"/>
  <c r="H73" i="6"/>
  <c r="H90" i="6"/>
  <c r="H76" i="6"/>
  <c r="H83" i="6"/>
  <c r="H80" i="6"/>
  <c r="H70" i="6"/>
  <c r="H63" i="6"/>
  <c r="H54" i="6"/>
  <c r="H45" i="6"/>
  <c r="H36" i="6"/>
  <c r="H30" i="6"/>
  <c r="H23" i="6"/>
  <c r="H13" i="6"/>
  <c r="H6" i="6"/>
  <c r="H96" i="6"/>
  <c r="J84" i="6"/>
  <c r="J76" i="6"/>
  <c r="J69" i="6"/>
  <c r="J58" i="6"/>
  <c r="J55" i="6"/>
  <c r="J44" i="6"/>
  <c r="J37" i="6"/>
  <c r="J26" i="6"/>
  <c r="J20" i="6"/>
  <c r="J11" i="6"/>
  <c r="J4" i="6"/>
  <c r="H97" i="6"/>
</calcChain>
</file>

<file path=xl/sharedStrings.xml><?xml version="1.0" encoding="utf-8"?>
<sst xmlns="http://schemas.openxmlformats.org/spreadsheetml/2006/main" count="171" uniqueCount="100">
  <si>
    <t>Edad</t>
  </si>
  <si>
    <t>q_2018</t>
  </si>
  <si>
    <t>q_2019</t>
  </si>
  <si>
    <t>q_2020</t>
  </si>
  <si>
    <t>q_2021</t>
  </si>
  <si>
    <t>q_2022</t>
  </si>
  <si>
    <t>q_2023</t>
  </si>
  <si>
    <t>q_2024</t>
  </si>
  <si>
    <t>q_2025</t>
  </si>
  <si>
    <t>q_2026</t>
  </si>
  <si>
    <t>q_2027</t>
  </si>
  <si>
    <t>q_2028</t>
  </si>
  <si>
    <t>q_2029</t>
  </si>
  <si>
    <t>q_2030</t>
  </si>
  <si>
    <t>q_2031</t>
  </si>
  <si>
    <t>q_2032</t>
  </si>
  <si>
    <t>q_2033</t>
  </si>
  <si>
    <t>q_2034</t>
  </si>
  <si>
    <t>q_2035</t>
  </si>
  <si>
    <t>q_2036</t>
  </si>
  <si>
    <t>q_2037</t>
  </si>
  <si>
    <t>q_2038</t>
  </si>
  <si>
    <t>q_2039</t>
  </si>
  <si>
    <t>q_2040</t>
  </si>
  <si>
    <t>q_2041</t>
  </si>
  <si>
    <t>q_2042</t>
  </si>
  <si>
    <t>q_2043</t>
  </si>
  <si>
    <t>q_2044</t>
  </si>
  <si>
    <t>q_2045</t>
  </si>
  <si>
    <t>q_2046</t>
  </si>
  <si>
    <t>q_2047</t>
  </si>
  <si>
    <t>q_2048</t>
  </si>
  <si>
    <t>q_2049</t>
  </si>
  <si>
    <t>q_2050</t>
  </si>
  <si>
    <t>l_2018</t>
  </si>
  <si>
    <t>l_2019</t>
  </si>
  <si>
    <t>l_2020</t>
  </si>
  <si>
    <t>l_2021</t>
  </si>
  <si>
    <t>l_2022</t>
  </si>
  <si>
    <t>l_2023</t>
  </si>
  <si>
    <t>l_2024</t>
  </si>
  <si>
    <t>l_2025</t>
  </si>
  <si>
    <t>l_2026</t>
  </si>
  <si>
    <t>l_2027</t>
  </si>
  <si>
    <t>l_2028</t>
  </si>
  <si>
    <t>l_2029</t>
  </si>
  <si>
    <t>l_2030</t>
  </si>
  <si>
    <t>l_2031</t>
  </si>
  <si>
    <t>l_2032</t>
  </si>
  <si>
    <t>l_2033</t>
  </si>
  <si>
    <t>l_2034</t>
  </si>
  <si>
    <t>l_2035</t>
  </si>
  <si>
    <t>l_2036</t>
  </si>
  <si>
    <t>l_2037</t>
  </si>
  <si>
    <t>l_2038</t>
  </si>
  <si>
    <t>l_2039</t>
  </si>
  <si>
    <t>l_2040</t>
  </si>
  <si>
    <t>l_2041</t>
  </si>
  <si>
    <t>l_2042</t>
  </si>
  <si>
    <t>l_2043</t>
  </si>
  <si>
    <t>l_2044</t>
  </si>
  <si>
    <t>l_2045</t>
  </si>
  <si>
    <t>l_2046</t>
  </si>
  <si>
    <t>l_2047</t>
  </si>
  <si>
    <t>l_2048</t>
  </si>
  <si>
    <t>l_2049</t>
  </si>
  <si>
    <t>l_2050</t>
  </si>
  <si>
    <t>base tecnica</t>
  </si>
  <si>
    <t>interes</t>
  </si>
  <si>
    <t>TM:</t>
  </si>
  <si>
    <t>Genero</t>
  </si>
  <si>
    <t>edad</t>
  </si>
  <si>
    <t>Ecuador</t>
  </si>
  <si>
    <t>Masculino</t>
  </si>
  <si>
    <t>qx+k</t>
  </si>
  <si>
    <t>kPx</t>
  </si>
  <si>
    <t>Capital</t>
  </si>
  <si>
    <t>Prima Unitaria</t>
  </si>
  <si>
    <t>v^(k+1)</t>
  </si>
  <si>
    <t>v^2(k+1)</t>
  </si>
  <si>
    <t>producto O1</t>
  </si>
  <si>
    <t>Producto O2</t>
  </si>
  <si>
    <t>E(Z)=PRIMA PURA</t>
  </si>
  <si>
    <t>VAR(SZ)=E(Z^2)-(E(Z))^2</t>
  </si>
  <si>
    <t xml:space="preserve">svdxc </t>
  </si>
  <si>
    <t>c</t>
  </si>
  <si>
    <t>qxt</t>
  </si>
  <si>
    <t>lxt</t>
  </si>
  <si>
    <t>dxt</t>
  </si>
  <si>
    <t>Cx</t>
  </si>
  <si>
    <t>Dx</t>
  </si>
  <si>
    <t xml:space="preserve">tipo de inters </t>
  </si>
  <si>
    <t>v</t>
  </si>
  <si>
    <t>Mx</t>
  </si>
  <si>
    <t>Rx</t>
  </si>
  <si>
    <t>NX</t>
  </si>
  <si>
    <t>Sx</t>
  </si>
  <si>
    <t>PRIMA UNICA</t>
  </si>
  <si>
    <t>a35</t>
  </si>
  <si>
    <t>ABRIR ALF 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</si>
</sst>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4" x14ac:knownFonts="1"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0" fillId="0" borderId="0" xfId="0" applyNumberFormat="1"/>
    <xf numFmtId="164" fontId="0" fillId="0" borderId="0" xfId="1" applyNumberFormat="1" applyFont="1"/>
    <xf numFmtId="0" fontId="1" fillId="0" borderId="0" xfId="0" applyFont="1"/>
    <xf numFmtId="0" fontId="3" fillId="0" borderId="0" xfId="0" applyFont="1"/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H100"/>
  <sheetViews>
    <sheetView workbookViewId="0">
      <selection activeCell="A2" sqref="A2:B2"/>
    </sheetView>
  </sheetViews>
  <sheetFormatPr baseColWidth="10" defaultColWidth="8.85546875" defaultRowHeight="15" x14ac:dyDescent="0.25"/>
  <sheetData>
    <row r="1" spans="1:3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</row>
    <row r="2" spans="1:34" x14ac:dyDescent="0.25">
      <c r="A2" s="2">
        <v>0</v>
      </c>
      <c r="B2" s="1">
        <v>8.5968918767913797E-3</v>
      </c>
      <c r="C2" s="1">
        <v>8.5590850719552795E-3</v>
      </c>
      <c r="D2" s="1">
        <v>8.5335110534104398E-3</v>
      </c>
      <c r="E2" s="1">
        <v>8.5161912988821493E-3</v>
      </c>
      <c r="F2" s="1">
        <v>8.5044522397294594E-3</v>
      </c>
      <c r="G2" s="1">
        <v>8.4964913490355107E-3</v>
      </c>
      <c r="H2" s="1">
        <v>8.4910906396367201E-3</v>
      </c>
      <c r="I2" s="1">
        <v>8.4874258494513407E-3</v>
      </c>
      <c r="J2" s="1">
        <v>8.4849385874623193E-3</v>
      </c>
      <c r="K2" s="1">
        <v>8.48325030827503E-3</v>
      </c>
      <c r="L2" s="1">
        <v>8.4821042646176306E-3</v>
      </c>
      <c r="M2" s="1">
        <v>8.4813262616548497E-3</v>
      </c>
      <c r="N2" s="1">
        <v>8.4807980875721903E-3</v>
      </c>
      <c r="O2" s="1">
        <v>8.4804395095943903E-3</v>
      </c>
      <c r="P2" s="1">
        <v>8.4801960665338398E-3</v>
      </c>
      <c r="Q2" s="1">
        <v>8.4800307881288395E-3</v>
      </c>
      <c r="R2" s="1">
        <v>8.4799185764209001E-3</v>
      </c>
      <c r="S2" s="1">
        <v>8.4798423926432196E-3</v>
      </c>
      <c r="T2" s="1">
        <v>8.4797906690869101E-3</v>
      </c>
      <c r="U2" s="1">
        <v>8.4797555522574605E-3</v>
      </c>
      <c r="V2" s="1">
        <v>8.4797317102439408E-3</v>
      </c>
      <c r="W2" s="1">
        <v>8.4797155230696003E-3</v>
      </c>
      <c r="X2" s="1">
        <v>8.4797045330242005E-3</v>
      </c>
      <c r="Y2" s="1">
        <v>8.4796970714897096E-3</v>
      </c>
      <c r="Z2" s="1">
        <v>8.4796920055855794E-3</v>
      </c>
      <c r="AA2" s="1">
        <v>8.4796885661602601E-3</v>
      </c>
      <c r="AB2" s="1">
        <v>8.4796862310097705E-3</v>
      </c>
      <c r="AC2" s="1">
        <v>8.4796846455913299E-3</v>
      </c>
      <c r="AD2" s="1">
        <v>8.4796835691931007E-3</v>
      </c>
      <c r="AE2" s="1">
        <v>8.4796828383871693E-3</v>
      </c>
      <c r="AF2" s="1">
        <v>8.4796823422163999E-3</v>
      </c>
      <c r="AG2" s="1">
        <v>8.4796820053480004E-3</v>
      </c>
      <c r="AH2" s="1">
        <v>8.4796817766357602E-3</v>
      </c>
    </row>
    <row r="3" spans="1:34" x14ac:dyDescent="0.25">
      <c r="A3" s="2">
        <v>1</v>
      </c>
      <c r="B3" s="1">
        <v>2.88278322340896E-3</v>
      </c>
      <c r="C3" s="1">
        <v>2.8626697110378401E-3</v>
      </c>
      <c r="D3" s="1">
        <v>2.8490938426343399E-3</v>
      </c>
      <c r="E3" s="1">
        <v>2.8399133511720501E-3</v>
      </c>
      <c r="F3" s="1">
        <v>2.8336972226750902E-3</v>
      </c>
      <c r="G3" s="1">
        <v>2.8294846119526298E-3</v>
      </c>
      <c r="H3" s="1">
        <v>2.8266280817309999E-3</v>
      </c>
      <c r="I3" s="1">
        <v>2.8246903206806599E-3</v>
      </c>
      <c r="J3" s="1">
        <v>2.8233754601484601E-3</v>
      </c>
      <c r="K3" s="1">
        <v>2.8224831017472098E-3</v>
      </c>
      <c r="L3" s="1">
        <v>2.8218774076139699E-3</v>
      </c>
      <c r="M3" s="1">
        <v>2.8214662537584499E-3</v>
      </c>
      <c r="N3" s="1">
        <v>2.8211871405085698E-3</v>
      </c>
      <c r="O3" s="1">
        <v>2.8209976560601199E-3</v>
      </c>
      <c r="P3" s="1">
        <v>2.8208690154017699E-3</v>
      </c>
      <c r="Q3" s="1">
        <v>2.8207816799065899E-3</v>
      </c>
      <c r="R3" s="1">
        <v>2.8207223861931199E-3</v>
      </c>
      <c r="S3" s="1">
        <v>2.82068213023825E-3</v>
      </c>
      <c r="T3" s="1">
        <v>2.8206547993295198E-3</v>
      </c>
      <c r="U3" s="1">
        <v>2.82063624352967E-3</v>
      </c>
      <c r="V3" s="1">
        <v>2.8206236453899901E-3</v>
      </c>
      <c r="W3" s="1">
        <v>2.8206150920855899E-3</v>
      </c>
      <c r="X3" s="1">
        <v>2.82060928495009E-3</v>
      </c>
      <c r="Y3" s="1">
        <v>2.8206053422808498E-3</v>
      </c>
      <c r="Z3" s="1">
        <v>2.8206026654620602E-3</v>
      </c>
      <c r="AA3" s="1">
        <v>2.8206008480736299E-3</v>
      </c>
      <c r="AB3" s="1">
        <v>2.82059961418301E-3</v>
      </c>
      <c r="AC3" s="1">
        <v>2.8205987764499899E-3</v>
      </c>
      <c r="AD3" s="1">
        <v>2.8205982076826299E-3</v>
      </c>
      <c r="AE3" s="1">
        <v>2.8205978215257999E-3</v>
      </c>
      <c r="AF3" s="1">
        <v>2.82059755934987E-3</v>
      </c>
      <c r="AG3" s="1">
        <v>2.8205973813490901E-3</v>
      </c>
      <c r="AH3" s="1">
        <v>2.82059726049787E-3</v>
      </c>
    </row>
    <row r="4" spans="1:34" x14ac:dyDescent="0.25">
      <c r="A4" s="2">
        <v>2</v>
      </c>
      <c r="B4" s="1">
        <v>7.8956543432237298E-4</v>
      </c>
      <c r="C4" s="1">
        <v>7.8172728181529296E-4</v>
      </c>
      <c r="D4" s="1">
        <v>7.7645005214902103E-4</v>
      </c>
      <c r="E4" s="1">
        <v>7.72887459737836E-4</v>
      </c>
      <c r="F4" s="1">
        <v>7.7047800331474898E-4</v>
      </c>
      <c r="G4" s="1">
        <v>7.6884641636958595E-4</v>
      </c>
      <c r="H4" s="1">
        <v>7.6774064140349297E-4</v>
      </c>
      <c r="I4" s="1">
        <v>7.6699079666384205E-4</v>
      </c>
      <c r="J4" s="1">
        <v>7.6648211701912895E-4</v>
      </c>
      <c r="K4" s="1">
        <v>7.6613694807817797E-4</v>
      </c>
      <c r="L4" s="1">
        <v>7.6590268885985799E-4</v>
      </c>
      <c r="M4" s="1">
        <v>7.6574368254435398E-4</v>
      </c>
      <c r="N4" s="1">
        <v>7.6563574616607703E-4</v>
      </c>
      <c r="O4" s="1">
        <v>7.6556247289106801E-4</v>
      </c>
      <c r="P4" s="1">
        <v>7.6551272898794996E-4</v>
      </c>
      <c r="Q4" s="1">
        <v>7.6547895787968496E-4</v>
      </c>
      <c r="R4" s="1">
        <v>7.6545603029161305E-4</v>
      </c>
      <c r="S4" s="1">
        <v>7.6544046430725697E-4</v>
      </c>
      <c r="T4" s="1">
        <v>7.6542989617320301E-4</v>
      </c>
      <c r="U4" s="1">
        <v>7.6542272116475202E-4</v>
      </c>
      <c r="V4" s="1">
        <v>7.6541784982819502E-4</v>
      </c>
      <c r="W4" s="1">
        <v>7.65414542517834E-4</v>
      </c>
      <c r="X4" s="1">
        <v>7.6541229707237E-4</v>
      </c>
      <c r="Y4" s="1">
        <v>7.6541077256131495E-4</v>
      </c>
      <c r="Z4" s="1">
        <v>7.65409737516899E-4</v>
      </c>
      <c r="AA4" s="1">
        <v>7.6540903478829897E-4</v>
      </c>
      <c r="AB4" s="1">
        <v>7.6540855768059504E-4</v>
      </c>
      <c r="AC4" s="1">
        <v>7.6540823375494701E-4</v>
      </c>
      <c r="AD4" s="1">
        <v>7.6540801383008896E-4</v>
      </c>
      <c r="AE4" s="1">
        <v>7.6540786451512102E-4</v>
      </c>
      <c r="AF4" s="1">
        <v>7.6540776313976E-4</v>
      </c>
      <c r="AG4" s="1">
        <v>7.6540769431233805E-4</v>
      </c>
      <c r="AH4" s="1">
        <v>7.6540764758289601E-4</v>
      </c>
    </row>
    <row r="5" spans="1:34" x14ac:dyDescent="0.25">
      <c r="A5" s="2">
        <v>3</v>
      </c>
      <c r="B5" s="1">
        <v>4.5549259773255301E-4</v>
      </c>
      <c r="C5" s="1">
        <v>4.51485462662357E-4</v>
      </c>
      <c r="D5" s="1">
        <v>4.4878497885500202E-4</v>
      </c>
      <c r="E5" s="1">
        <v>4.4696073180821498E-4</v>
      </c>
      <c r="F5" s="1">
        <v>4.45726411185066E-4</v>
      </c>
      <c r="G5" s="1">
        <v>4.44890328810232E-4</v>
      </c>
      <c r="H5" s="1">
        <v>4.4432357582579503E-4</v>
      </c>
      <c r="I5" s="1">
        <v>4.43939198020904E-4</v>
      </c>
      <c r="J5" s="1">
        <v>4.43678419406279E-4</v>
      </c>
      <c r="K5" s="1">
        <v>4.4350145458952098E-4</v>
      </c>
      <c r="L5" s="1">
        <v>4.43381346944115E-4</v>
      </c>
      <c r="M5" s="1">
        <v>4.43299820019029E-4</v>
      </c>
      <c r="N5" s="1">
        <v>4.4324447695889499E-4</v>
      </c>
      <c r="O5" s="1">
        <v>4.4320690647432499E-4</v>
      </c>
      <c r="P5" s="1">
        <v>4.4318140031697403E-4</v>
      </c>
      <c r="Q5" s="1">
        <v>4.43164084093076E-4</v>
      </c>
      <c r="R5" s="1">
        <v>4.4315232786276497E-4</v>
      </c>
      <c r="S5" s="1">
        <v>4.4314434630702101E-4</v>
      </c>
      <c r="T5" s="1">
        <v>4.4313892741969203E-4</v>
      </c>
      <c r="U5" s="1">
        <v>4.4313524837723999E-4</v>
      </c>
      <c r="V5" s="1">
        <v>4.4313275055856701E-4</v>
      </c>
      <c r="W5" s="1">
        <v>4.4313105470640898E-4</v>
      </c>
      <c r="X5" s="1">
        <v>4.4312990333423701E-4</v>
      </c>
      <c r="Y5" s="1">
        <v>4.4312912162738899E-4</v>
      </c>
      <c r="Z5" s="1">
        <v>4.4312859089889101E-4</v>
      </c>
      <c r="AA5" s="1">
        <v>4.4312823056832202E-4</v>
      </c>
      <c r="AB5" s="1">
        <v>4.4312798592692601E-4</v>
      </c>
      <c r="AC5" s="1">
        <v>4.4312781983103902E-4</v>
      </c>
      <c r="AD5" s="1">
        <v>4.4312770706251902E-4</v>
      </c>
      <c r="AE5" s="1">
        <v>4.4312763049987602E-4</v>
      </c>
      <c r="AF5" s="1">
        <v>4.43127578518713E-4</v>
      </c>
      <c r="AG5" s="1">
        <v>4.43127543226809E-4</v>
      </c>
      <c r="AH5" s="1">
        <v>4.4312751926585099E-4</v>
      </c>
    </row>
    <row r="6" spans="1:34" x14ac:dyDescent="0.25">
      <c r="A6" s="2">
        <v>4</v>
      </c>
      <c r="B6" s="1">
        <v>5.4866289667068096E-4</v>
      </c>
      <c r="C6" s="1">
        <v>5.4569433386318395E-4</v>
      </c>
      <c r="D6" s="1">
        <v>5.4368802534091704E-4</v>
      </c>
      <c r="E6" s="1">
        <v>5.42330074001449E-4</v>
      </c>
      <c r="F6" s="1">
        <v>5.4141004440240795E-4</v>
      </c>
      <c r="G6" s="1">
        <v>5.4078629223543704E-4</v>
      </c>
      <c r="H6" s="1">
        <v>5.4036321365668705E-4</v>
      </c>
      <c r="I6" s="1">
        <v>5.4007615879367104E-4</v>
      </c>
      <c r="J6" s="1">
        <v>5.3988135367263402E-4</v>
      </c>
      <c r="K6" s="1">
        <v>5.3974913341090999E-4</v>
      </c>
      <c r="L6" s="1">
        <v>5.3965938270499698E-4</v>
      </c>
      <c r="M6" s="1">
        <v>5.3959845618166099E-4</v>
      </c>
      <c r="N6" s="1">
        <v>5.39557094862616E-4</v>
      </c>
      <c r="O6" s="1">
        <v>5.3952901496136197E-4</v>
      </c>
      <c r="P6" s="1">
        <v>5.3950995132512705E-4</v>
      </c>
      <c r="Q6" s="1">
        <v>5.3949700871113403E-4</v>
      </c>
      <c r="R6" s="1">
        <v>5.3948822167545205E-4</v>
      </c>
      <c r="S6" s="1">
        <v>5.3948225591805301E-4</v>
      </c>
      <c r="T6" s="1">
        <v>5.3947820558540105E-4</v>
      </c>
      <c r="U6" s="1">
        <v>5.3947545568419305E-4</v>
      </c>
      <c r="V6" s="1">
        <v>5.3947358868397402E-4</v>
      </c>
      <c r="W6" s="1">
        <v>5.3947232111312702E-4</v>
      </c>
      <c r="X6" s="1">
        <v>5.3947146051475298E-4</v>
      </c>
      <c r="Y6" s="1">
        <v>5.39470876223917E-4</v>
      </c>
      <c r="Z6" s="1">
        <v>5.3947047952792302E-4</v>
      </c>
      <c r="AA6" s="1">
        <v>5.3947021019671302E-4</v>
      </c>
      <c r="AB6" s="1">
        <v>5.3947002733801001E-4</v>
      </c>
      <c r="AC6" s="1">
        <v>5.3946990318860398E-4</v>
      </c>
      <c r="AD6" s="1">
        <v>5.3946981889906097E-4</v>
      </c>
      <c r="AE6" s="1">
        <v>5.3946976167182402E-4</v>
      </c>
      <c r="AF6" s="1">
        <v>5.3946972281817E-4</v>
      </c>
      <c r="AG6" s="1">
        <v>5.39469696439009E-4</v>
      </c>
      <c r="AH6" s="1">
        <v>5.3946967852923496E-4</v>
      </c>
    </row>
    <row r="7" spans="1:34" x14ac:dyDescent="0.25">
      <c r="A7" s="2">
        <v>5</v>
      </c>
      <c r="B7" s="1">
        <v>5.4245238211677498E-4</v>
      </c>
      <c r="C7" s="1">
        <v>5.4023913226610505E-4</v>
      </c>
      <c r="D7" s="1">
        <v>5.3874162384383295E-4</v>
      </c>
      <c r="E7" s="1">
        <v>5.3772727667779699E-4</v>
      </c>
      <c r="F7" s="1">
        <v>5.37039687819506E-4</v>
      </c>
      <c r="G7" s="1">
        <v>5.3657335970987196E-4</v>
      </c>
      <c r="H7" s="1">
        <v>5.3625698329738702E-4</v>
      </c>
      <c r="I7" s="1">
        <v>5.3604229011178001E-4</v>
      </c>
      <c r="J7" s="1">
        <v>5.35896576057003E-4</v>
      </c>
      <c r="K7" s="1">
        <v>5.3579766804180402E-4</v>
      </c>
      <c r="L7" s="1">
        <v>5.3573052618535104E-4</v>
      </c>
      <c r="M7" s="1">
        <v>5.3568494592477398E-4</v>
      </c>
      <c r="N7" s="1">
        <v>5.3565400203344296E-4</v>
      </c>
      <c r="O7" s="1">
        <v>5.3563299411573805E-4</v>
      </c>
      <c r="P7" s="1">
        <v>5.35618731543809E-4</v>
      </c>
      <c r="Q7" s="1">
        <v>5.3560904838003201E-4</v>
      </c>
      <c r="R7" s="1">
        <v>5.3560247422679101E-4</v>
      </c>
      <c r="S7" s="1">
        <v>5.3559801084040396E-4</v>
      </c>
      <c r="T7" s="1">
        <v>5.3559498050582196E-4</v>
      </c>
      <c r="U7" s="1">
        <v>5.3559292311094098E-4</v>
      </c>
      <c r="V7" s="1">
        <v>5.3559152627503503E-4</v>
      </c>
      <c r="W7" s="1">
        <v>5.3559057791427802E-4</v>
      </c>
      <c r="X7" s="1">
        <v>5.3558993403853602E-4</v>
      </c>
      <c r="Y7" s="1">
        <v>5.3558949688825596E-4</v>
      </c>
      <c r="Z7" s="1">
        <v>5.3558920009119302E-4</v>
      </c>
      <c r="AA7" s="1">
        <v>5.3558899858493797E-4</v>
      </c>
      <c r="AB7" s="1">
        <v>5.35588861775037E-4</v>
      </c>
      <c r="AC7" s="1">
        <v>5.3558876888982598E-4</v>
      </c>
      <c r="AD7" s="1">
        <v>5.3558870582667796E-4</v>
      </c>
      <c r="AE7" s="1">
        <v>5.3558866301081198E-4</v>
      </c>
      <c r="AF7" s="1">
        <v>5.3558863394156096E-4</v>
      </c>
      <c r="AG7" s="1">
        <v>5.3558861420538798E-4</v>
      </c>
      <c r="AH7" s="1">
        <v>5.3558860080577995E-4</v>
      </c>
    </row>
    <row r="8" spans="1:34" x14ac:dyDescent="0.25">
      <c r="A8" s="2">
        <v>6</v>
      </c>
      <c r="B8" s="1">
        <v>4.59034151511903E-4</v>
      </c>
      <c r="C8" s="1">
        <v>4.5721448196628899E-4</v>
      </c>
      <c r="D8" s="1">
        <v>4.5598315401139102E-4</v>
      </c>
      <c r="E8" s="1">
        <v>4.5514905067299799E-4</v>
      </c>
      <c r="F8" s="1">
        <v>4.5458361708291297E-4</v>
      </c>
      <c r="G8" s="1">
        <v>4.5420012391507501E-4</v>
      </c>
      <c r="H8" s="1">
        <v>4.5393994078296303E-4</v>
      </c>
      <c r="I8" s="1">
        <v>4.5376337789913401E-4</v>
      </c>
      <c r="J8" s="1">
        <v>4.5364354205280102E-4</v>
      </c>
      <c r="K8" s="1">
        <v>4.5356219916083698E-4</v>
      </c>
      <c r="L8" s="1">
        <v>4.5350698081656398E-4</v>
      </c>
      <c r="M8" s="1">
        <v>4.5346949489971498E-4</v>
      </c>
      <c r="N8" s="1">
        <v>4.5344404610942498E-4</v>
      </c>
      <c r="O8" s="1">
        <v>4.5342676881151E-4</v>
      </c>
      <c r="P8" s="1">
        <v>4.53415038999048E-4</v>
      </c>
      <c r="Q8" s="1">
        <v>4.53407075374543E-4</v>
      </c>
      <c r="R8" s="1">
        <v>4.5340166865917098E-4</v>
      </c>
      <c r="S8" s="1">
        <v>4.5339799787968602E-4</v>
      </c>
      <c r="T8" s="1">
        <v>4.53395505670571E-4</v>
      </c>
      <c r="U8" s="1">
        <v>4.5339381362672899E-4</v>
      </c>
      <c r="V8" s="1">
        <v>4.5339266484006299E-4</v>
      </c>
      <c r="W8" s="1">
        <v>4.5339188488856301E-4</v>
      </c>
      <c r="X8" s="1">
        <v>4.5339135535181301E-4</v>
      </c>
      <c r="Y8" s="1">
        <v>4.5339099583035602E-4</v>
      </c>
      <c r="Z8" s="1">
        <v>4.53390751738291E-4</v>
      </c>
      <c r="AA8" s="1">
        <v>4.5339058601536202E-4</v>
      </c>
      <c r="AB8" s="1">
        <v>4.53390473500057E-4</v>
      </c>
      <c r="AC8" s="1">
        <v>4.53390397109329E-4</v>
      </c>
      <c r="AD8" s="1">
        <v>4.5339034524488598E-4</v>
      </c>
      <c r="AE8" s="1">
        <v>4.5339031003222799E-4</v>
      </c>
      <c r="AF8" s="1">
        <v>4.5339028612507098E-4</v>
      </c>
      <c r="AG8" s="1">
        <v>4.5339026989363199E-4</v>
      </c>
      <c r="AH8" s="1">
        <v>4.5339025887351602E-4</v>
      </c>
    </row>
    <row r="9" spans="1:34" x14ac:dyDescent="0.25">
      <c r="A9" s="2">
        <v>7</v>
      </c>
      <c r="B9" s="1">
        <v>4.01808635022258E-4</v>
      </c>
      <c r="C9" s="1">
        <v>4.0018485850756998E-4</v>
      </c>
      <c r="D9" s="1">
        <v>3.9908615825044697E-4</v>
      </c>
      <c r="E9" s="1">
        <v>3.9834192996344298E-4</v>
      </c>
      <c r="F9" s="1">
        <v>3.9783743724615899E-4</v>
      </c>
      <c r="G9" s="1">
        <v>3.97495282876643E-4</v>
      </c>
      <c r="H9" s="1">
        <v>3.9726314949553701E-4</v>
      </c>
      <c r="I9" s="1">
        <v>3.97105622931669E-4</v>
      </c>
      <c r="J9" s="1">
        <v>3.9699870799868802E-4</v>
      </c>
      <c r="K9" s="1">
        <v>3.9692613595526801E-4</v>
      </c>
      <c r="L9" s="1">
        <v>3.9687687170834098E-4</v>
      </c>
      <c r="M9" s="1">
        <v>3.9684342789889603E-4</v>
      </c>
      <c r="N9" s="1">
        <v>3.9682072328305599E-4</v>
      </c>
      <c r="O9" s="1">
        <v>3.9680530903164703E-4</v>
      </c>
      <c r="P9" s="1">
        <v>3.9679484407547299E-4</v>
      </c>
      <c r="Q9" s="1">
        <v>3.9678773919238803E-4</v>
      </c>
      <c r="R9" s="1">
        <v>3.9678291550067298E-4</v>
      </c>
      <c r="S9" s="1">
        <v>3.9677964055388602E-4</v>
      </c>
      <c r="T9" s="1">
        <v>3.9677741708849299E-4</v>
      </c>
      <c r="U9" s="1">
        <v>3.9677590750385899E-4</v>
      </c>
      <c r="V9" s="1">
        <v>3.9677488259507501E-4</v>
      </c>
      <c r="W9" s="1">
        <v>3.9677418674863697E-4</v>
      </c>
      <c r="X9" s="1">
        <v>3.9677371431381199E-4</v>
      </c>
      <c r="Y9" s="1">
        <v>3.9677339356090203E-4</v>
      </c>
      <c r="Z9" s="1">
        <v>3.9677317579020201E-4</v>
      </c>
      <c r="AA9" s="1">
        <v>3.9677302793780198E-4</v>
      </c>
      <c r="AB9" s="1">
        <v>3.9677292755544699E-4</v>
      </c>
      <c r="AC9" s="1">
        <v>3.9677285940222E-4</v>
      </c>
      <c r="AD9" s="1">
        <v>3.9677281313051598E-4</v>
      </c>
      <c r="AE9" s="1">
        <v>3.9677278171497198E-4</v>
      </c>
      <c r="AF9" s="1">
        <v>3.9677276038581501E-4</v>
      </c>
      <c r="AG9" s="1">
        <v>3.9677274590467298E-4</v>
      </c>
      <c r="AH9" s="1">
        <v>3.9677273607289799E-4</v>
      </c>
    </row>
    <row r="10" spans="1:34" x14ac:dyDescent="0.25">
      <c r="A10" s="2">
        <v>8</v>
      </c>
      <c r="B10" s="1">
        <v>3.8145411489744202E-4</v>
      </c>
      <c r="C10" s="1">
        <v>3.7989632005322102E-4</v>
      </c>
      <c r="D10" s="1">
        <v>3.7884230309251702E-4</v>
      </c>
      <c r="E10" s="1">
        <v>3.7812835944623301E-4</v>
      </c>
      <c r="F10" s="1">
        <v>3.7764440391703101E-4</v>
      </c>
      <c r="G10" s="1">
        <v>3.7731618186709001E-4</v>
      </c>
      <c r="H10" s="1">
        <v>3.77093502520139E-4</v>
      </c>
      <c r="I10" s="1">
        <v>3.7694239228307198E-4</v>
      </c>
      <c r="J10" s="1">
        <v>3.7683983253997897E-4</v>
      </c>
      <c r="K10" s="1">
        <v>3.7677021689220099E-4</v>
      </c>
      <c r="L10" s="1">
        <v>3.7672295961890199E-4</v>
      </c>
      <c r="M10" s="1">
        <v>3.7669087831048402E-4</v>
      </c>
      <c r="N10" s="1">
        <v>3.7666909869716198E-4</v>
      </c>
      <c r="O10" s="1">
        <v>3.7665431244105499E-4</v>
      </c>
      <c r="P10" s="1">
        <v>3.7664427384335601E-4</v>
      </c>
      <c r="Q10" s="1">
        <v>3.76637458425778E-4</v>
      </c>
      <c r="R10" s="1">
        <v>3.7663283126053302E-4</v>
      </c>
      <c r="S10" s="1">
        <v>3.7662968974171097E-4</v>
      </c>
      <c r="T10" s="1">
        <v>3.7662755686495799E-4</v>
      </c>
      <c r="U10" s="1">
        <v>3.7662610878403698E-4</v>
      </c>
      <c r="V10" s="1">
        <v>3.76625125632268E-4</v>
      </c>
      <c r="W10" s="1">
        <v>3.7662445813614398E-4</v>
      </c>
      <c r="X10" s="1">
        <v>3.76624004949359E-4</v>
      </c>
      <c r="Y10" s="1">
        <v>3.76623697264635E-4</v>
      </c>
      <c r="Z10" s="1">
        <v>3.7662348836639998E-4</v>
      </c>
      <c r="AA10" s="1">
        <v>3.76623346537836E-4</v>
      </c>
      <c r="AB10" s="1">
        <v>3.7662325024528302E-4</v>
      </c>
      <c r="AC10" s="1">
        <v>3.7662318486877201E-4</v>
      </c>
      <c r="AD10" s="1">
        <v>3.76623140482281E-4</v>
      </c>
      <c r="AE10" s="1">
        <v>3.76623110346676E-4</v>
      </c>
      <c r="AF10" s="1">
        <v>3.7662308988651601E-4</v>
      </c>
      <c r="AG10" s="1">
        <v>3.7662307599536899E-4</v>
      </c>
      <c r="AH10" s="1">
        <v>3.7662306656416198E-4</v>
      </c>
    </row>
    <row r="11" spans="1:34" x14ac:dyDescent="0.25">
      <c r="A11" s="2">
        <v>9</v>
      </c>
      <c r="B11" s="1">
        <v>3.7643308285236897E-4</v>
      </c>
      <c r="C11" s="1">
        <v>3.74870667295644E-4</v>
      </c>
      <c r="D11" s="1">
        <v>3.7381358341054402E-4</v>
      </c>
      <c r="E11" s="1">
        <v>3.7309758972199701E-4</v>
      </c>
      <c r="F11" s="1">
        <v>3.7261225713443303E-4</v>
      </c>
      <c r="G11" s="1">
        <v>3.7228310694982199E-4</v>
      </c>
      <c r="H11" s="1">
        <v>3.7205980058776801E-4</v>
      </c>
      <c r="I11" s="1">
        <v>3.7190826608810999E-4</v>
      </c>
      <c r="J11" s="1">
        <v>3.7180541896130701E-4</v>
      </c>
      <c r="K11" s="1">
        <v>3.71735608503991E-4</v>
      </c>
      <c r="L11" s="1">
        <v>3.7168821910827499E-4</v>
      </c>
      <c r="M11" s="1">
        <v>3.7165604816205501E-4</v>
      </c>
      <c r="N11" s="1">
        <v>3.7163420772028197E-4</v>
      </c>
      <c r="O11" s="1">
        <v>3.7161938017931301E-4</v>
      </c>
      <c r="P11" s="1">
        <v>3.7160931355817201E-4</v>
      </c>
      <c r="Q11" s="1">
        <v>3.71602479117387E-4</v>
      </c>
      <c r="R11" s="1">
        <v>3.7159783903794501E-4</v>
      </c>
      <c r="S11" s="1">
        <v>3.7159468875182602E-4</v>
      </c>
      <c r="T11" s="1">
        <v>3.7159254992292199E-4</v>
      </c>
      <c r="U11" s="1">
        <v>3.7159109780100102E-4</v>
      </c>
      <c r="V11" s="1">
        <v>3.7159011190571E-4</v>
      </c>
      <c r="W11" s="1">
        <v>3.71589442546937E-4</v>
      </c>
      <c r="X11" s="1">
        <v>3.7158898809554501E-4</v>
      </c>
      <c r="Y11" s="1">
        <v>3.7158867955224001E-4</v>
      </c>
      <c r="Z11" s="1">
        <v>3.7158847007108401E-4</v>
      </c>
      <c r="AA11" s="1">
        <v>3.7158832784675702E-4</v>
      </c>
      <c r="AB11" s="1">
        <v>3.7158823128550502E-4</v>
      </c>
      <c r="AC11" s="1">
        <v>3.7158816572656502E-4</v>
      </c>
      <c r="AD11" s="1">
        <v>3.71588121216216E-4</v>
      </c>
      <c r="AE11" s="1">
        <v>3.7158809099652098E-4</v>
      </c>
      <c r="AF11" s="1">
        <v>3.7158807047926902E-4</v>
      </c>
      <c r="AG11" s="1">
        <v>3.7158805654935901E-4</v>
      </c>
      <c r="AH11" s="1">
        <v>3.71588047091835E-4</v>
      </c>
    </row>
    <row r="12" spans="1:34" x14ac:dyDescent="0.25">
      <c r="A12" s="2">
        <v>10</v>
      </c>
      <c r="B12" s="1">
        <v>3.8466267525924801E-4</v>
      </c>
      <c r="C12" s="1">
        <v>3.8306129562247601E-4</v>
      </c>
      <c r="D12" s="1">
        <v>3.8197786119698398E-4</v>
      </c>
      <c r="E12" s="1">
        <v>3.81244024761035E-4</v>
      </c>
      <c r="F12" s="1">
        <v>3.8074659997193E-4</v>
      </c>
      <c r="G12" s="1">
        <v>3.80409250025889E-4</v>
      </c>
      <c r="H12" s="1">
        <v>3.80180381186193E-4</v>
      </c>
      <c r="I12" s="1">
        <v>3.8002507225468502E-4</v>
      </c>
      <c r="J12" s="1">
        <v>3.7991966351308301E-4</v>
      </c>
      <c r="K12" s="1">
        <v>3.7984811433578797E-4</v>
      </c>
      <c r="L12" s="1">
        <v>3.7979954466877297E-4</v>
      </c>
      <c r="M12" s="1">
        <v>3.7976657248969998E-4</v>
      </c>
      <c r="N12" s="1">
        <v>3.7974418810614302E-4</v>
      </c>
      <c r="O12" s="1">
        <v>3.79728991283736E-4</v>
      </c>
      <c r="P12" s="1">
        <v>3.79718673953398E-4</v>
      </c>
      <c r="Q12" s="1">
        <v>3.7971166930134598E-4</v>
      </c>
      <c r="R12" s="1">
        <v>3.7970691366127299E-4</v>
      </c>
      <c r="S12" s="1">
        <v>3.7970368491775099E-4</v>
      </c>
      <c r="T12" s="1">
        <v>3.7970149282168198E-4</v>
      </c>
      <c r="U12" s="1">
        <v>3.79700004534937E-4</v>
      </c>
      <c r="V12" s="1">
        <v>3.7969899408611901E-4</v>
      </c>
      <c r="W12" s="1">
        <v>3.79698308057102E-4</v>
      </c>
      <c r="X12" s="1">
        <v>3.7969784228769301E-4</v>
      </c>
      <c r="Y12" s="1">
        <v>3.7969752606018198E-4</v>
      </c>
      <c r="Z12" s="1">
        <v>3.7969731136194401E-4</v>
      </c>
      <c r="AA12" s="1">
        <v>3.7969716559554999E-4</v>
      </c>
      <c r="AB12" s="1">
        <v>3.7969706662946098E-4</v>
      </c>
      <c r="AC12" s="1">
        <v>3.7969699943779002E-4</v>
      </c>
      <c r="AD12" s="1">
        <v>3.7969695381892099E-4</v>
      </c>
      <c r="AE12" s="1">
        <v>3.7969692284661001E-4</v>
      </c>
      <c r="AF12" s="1">
        <v>3.7969690181838099E-4</v>
      </c>
      <c r="AG12" s="1">
        <v>3.7969688754154899E-4</v>
      </c>
      <c r="AH12" s="1">
        <v>3.7969687784848802E-4</v>
      </c>
    </row>
    <row r="13" spans="1:34" x14ac:dyDescent="0.25">
      <c r="A13" s="2">
        <v>11</v>
      </c>
      <c r="B13" s="1">
        <v>4.04330497795022E-4</v>
      </c>
      <c r="C13" s="1">
        <v>4.0289117070000199E-4</v>
      </c>
      <c r="D13" s="1">
        <v>4.0191687979854298E-4</v>
      </c>
      <c r="E13" s="1">
        <v>4.0125674109189099E-4</v>
      </c>
      <c r="F13" s="1">
        <v>4.0080916680679398E-4</v>
      </c>
      <c r="G13" s="1">
        <v>4.0050557681936398E-4</v>
      </c>
      <c r="H13" s="1">
        <v>4.0029958955092301E-4</v>
      </c>
      <c r="I13" s="1">
        <v>4.0015979765596301E-4</v>
      </c>
      <c r="J13" s="1">
        <v>4.0006491565992098E-4</v>
      </c>
      <c r="K13" s="1">
        <v>4.0000050963301501E-4</v>
      </c>
      <c r="L13" s="1">
        <v>3.9995678794125199E-4</v>
      </c>
      <c r="M13" s="1">
        <v>3.9992710641362298E-4</v>
      </c>
      <c r="N13" s="1">
        <v>3.9990695579735901E-4</v>
      </c>
      <c r="O13" s="1">
        <v>3.9989327538773401E-4</v>
      </c>
      <c r="P13" s="1">
        <v>3.9988398752545699E-4</v>
      </c>
      <c r="Q13" s="1">
        <v>3.9987768177999599E-4</v>
      </c>
      <c r="R13" s="1">
        <v>3.9987340063612299E-4</v>
      </c>
      <c r="S13" s="1">
        <v>3.99870494037552E-4</v>
      </c>
      <c r="T13" s="1">
        <v>3.9986852065383098E-4</v>
      </c>
      <c r="U13" s="1">
        <v>3.99867180857212E-4</v>
      </c>
      <c r="V13" s="1">
        <v>3.9986627122299E-4</v>
      </c>
      <c r="W13" s="1">
        <v>3.9986565364032498E-4</v>
      </c>
      <c r="X13" s="1">
        <v>3.99865234341477E-4</v>
      </c>
      <c r="Y13" s="1">
        <v>3.9986494966444999E-4</v>
      </c>
      <c r="Z13" s="1">
        <v>3.99864756386951E-4</v>
      </c>
      <c r="AA13" s="1">
        <v>3.9986462516386202E-4</v>
      </c>
      <c r="AB13" s="1">
        <v>3.9986453607174699E-4</v>
      </c>
      <c r="AC13" s="1">
        <v>3.9986447558387203E-4</v>
      </c>
      <c r="AD13" s="1">
        <v>3.9986443451645401E-4</v>
      </c>
      <c r="AE13" s="1">
        <v>3.9986440663428797E-4</v>
      </c>
      <c r="AF13" s="1">
        <v>3.9986438770407001E-4</v>
      </c>
      <c r="AG13" s="1">
        <v>3.9986437485165502E-4</v>
      </c>
      <c r="AH13" s="1">
        <v>3.9986436612568201E-4</v>
      </c>
    </row>
    <row r="14" spans="1:34" x14ac:dyDescent="0.25">
      <c r="A14" s="2">
        <v>12</v>
      </c>
      <c r="B14" s="1">
        <v>4.4160302761484801E-4</v>
      </c>
      <c r="C14" s="1">
        <v>4.4028357446744299E-4</v>
      </c>
      <c r="D14" s="1">
        <v>4.3938999676545402E-4</v>
      </c>
      <c r="E14" s="1">
        <v>4.3878434790785601E-4</v>
      </c>
      <c r="F14" s="1">
        <v>4.3837362657980598E-4</v>
      </c>
      <c r="G14" s="1">
        <v>4.3809499198441002E-4</v>
      </c>
      <c r="H14" s="1">
        <v>4.3790591772087102E-4</v>
      </c>
      <c r="I14" s="1">
        <v>4.3777759480891098E-4</v>
      </c>
      <c r="J14" s="1">
        <v>4.3769049313254101E-4</v>
      </c>
      <c r="K14" s="1">
        <v>4.3763136650349E-4</v>
      </c>
      <c r="L14" s="1">
        <v>4.37591227830343E-4</v>
      </c>
      <c r="M14" s="1">
        <v>4.3756397831925501E-4</v>
      </c>
      <c r="N14" s="1">
        <v>4.3754547859943402E-4</v>
      </c>
      <c r="O14" s="1">
        <v>4.3753291891073502E-4</v>
      </c>
      <c r="P14" s="1">
        <v>4.3752439188551997E-4</v>
      </c>
      <c r="Q14" s="1">
        <v>4.3751860267185499E-4</v>
      </c>
      <c r="R14" s="1">
        <v>4.37514672207241E-4</v>
      </c>
      <c r="S14" s="1">
        <v>4.3751200369160901E-4</v>
      </c>
      <c r="T14" s="1">
        <v>4.3751019194831201E-4</v>
      </c>
      <c r="U14" s="1">
        <v>4.3750896189399802E-4</v>
      </c>
      <c r="V14" s="1">
        <v>4.3750812676724002E-4</v>
      </c>
      <c r="W14" s="1">
        <v>4.37507559770139E-4</v>
      </c>
      <c r="X14" s="1">
        <v>4.3750717481555001E-4</v>
      </c>
      <c r="Y14" s="1">
        <v>4.3750691345603498E-4</v>
      </c>
      <c r="Z14" s="1">
        <v>4.3750673600961902E-4</v>
      </c>
      <c r="AA14" s="1">
        <v>4.3750661553481799E-4</v>
      </c>
      <c r="AB14" s="1">
        <v>4.3750653374010099E-4</v>
      </c>
      <c r="AC14" s="1">
        <v>4.3750647820669299E-4</v>
      </c>
      <c r="AD14" s="1">
        <v>4.3750644050304202E-4</v>
      </c>
      <c r="AE14" s="1">
        <v>4.3750641490465999E-4</v>
      </c>
      <c r="AF14" s="1">
        <v>4.3750639752498601E-4</v>
      </c>
      <c r="AG14" s="1">
        <v>4.3750638572529198E-4</v>
      </c>
      <c r="AH14" s="1">
        <v>4.3750637771404997E-4</v>
      </c>
    </row>
    <row r="15" spans="1:34" x14ac:dyDescent="0.25">
      <c r="A15" s="2">
        <v>13</v>
      </c>
      <c r="B15" s="1">
        <v>4.8988519887349896E-4</v>
      </c>
      <c r="C15" s="1">
        <v>4.8854955458808001E-4</v>
      </c>
      <c r="D15" s="1">
        <v>4.8764481256811498E-4</v>
      </c>
      <c r="E15" s="1">
        <v>4.87031505111863E-4</v>
      </c>
      <c r="F15" s="1">
        <v>4.8661554789650098E-4</v>
      </c>
      <c r="G15" s="1">
        <v>4.8633334182029303E-4</v>
      </c>
      <c r="H15" s="1">
        <v>4.8614183508572599E-4</v>
      </c>
      <c r="I15" s="1">
        <v>4.8601185715174298E-4</v>
      </c>
      <c r="J15" s="1">
        <v>4.8592363019501502E-4</v>
      </c>
      <c r="K15" s="1">
        <v>4.8586373882311099E-4</v>
      </c>
      <c r="L15" s="1">
        <v>4.8582308059300799E-4</v>
      </c>
      <c r="M15" s="1">
        <v>4.85795478176692E-4</v>
      </c>
      <c r="N15" s="1">
        <v>4.8577673878333002E-4</v>
      </c>
      <c r="O15" s="1">
        <v>4.85764016337735E-4</v>
      </c>
      <c r="P15" s="1">
        <v>4.8575537879535298E-4</v>
      </c>
      <c r="Q15" s="1">
        <v>4.8574951454037401E-4</v>
      </c>
      <c r="R15" s="1">
        <v>4.8574553312416698E-4</v>
      </c>
      <c r="S15" s="1">
        <v>4.85742830014115E-4</v>
      </c>
      <c r="T15" s="1">
        <v>4.8574099478270198E-4</v>
      </c>
      <c r="U15" s="1">
        <v>4.85739748781125E-4</v>
      </c>
      <c r="V15" s="1">
        <v>4.8573890282703898E-4</v>
      </c>
      <c r="W15" s="1">
        <v>4.8573832847880198E-4</v>
      </c>
      <c r="X15" s="1">
        <v>4.8573793853322702E-4</v>
      </c>
      <c r="Y15" s="1">
        <v>4.8573767378513497E-4</v>
      </c>
      <c r="Z15" s="1">
        <v>4.8573749403808299E-4</v>
      </c>
      <c r="AA15" s="1">
        <v>4.8573737200129303E-4</v>
      </c>
      <c r="AB15" s="1">
        <v>4.85737289146084E-4</v>
      </c>
      <c r="AC15" s="1">
        <v>4.8573723289266899E-4</v>
      </c>
      <c r="AD15" s="1">
        <v>4.8573719470017799E-4</v>
      </c>
      <c r="AE15" s="1">
        <v>4.8573716876990498E-4</v>
      </c>
      <c r="AF15" s="1">
        <v>4.8573715116489801E-4</v>
      </c>
      <c r="AG15" s="1">
        <v>4.8573713921221698E-4</v>
      </c>
      <c r="AH15" s="1">
        <v>4.8573713109710602E-4</v>
      </c>
    </row>
    <row r="16" spans="1:34" x14ac:dyDescent="0.25">
      <c r="A16" s="2">
        <v>14</v>
      </c>
      <c r="B16" s="1">
        <v>5.7123551333587502E-4</v>
      </c>
      <c r="C16" s="1">
        <v>5.69859558778476E-4</v>
      </c>
      <c r="D16" s="1">
        <v>5.6892726198028805E-4</v>
      </c>
      <c r="E16" s="1">
        <v>5.6829516090120395E-4</v>
      </c>
      <c r="F16" s="1">
        <v>5.6786640462969996E-4</v>
      </c>
      <c r="G16" s="1">
        <v>5.6757549069061299E-4</v>
      </c>
      <c r="H16" s="1">
        <v>5.6737806353043699E-4</v>
      </c>
      <c r="I16" s="1">
        <v>5.6724406216274897E-4</v>
      </c>
      <c r="J16" s="1">
        <v>5.6715310178078501E-4</v>
      </c>
      <c r="K16" s="1">
        <v>5.6709135377155104E-4</v>
      </c>
      <c r="L16" s="1">
        <v>5.6704943462696801E-4</v>
      </c>
      <c r="M16" s="1">
        <v>5.6702097595668797E-4</v>
      </c>
      <c r="N16" s="1">
        <v>5.6700165514148601E-4</v>
      </c>
      <c r="O16" s="1">
        <v>5.6698853791061995E-4</v>
      </c>
      <c r="P16" s="1">
        <v>5.6697963231716803E-4</v>
      </c>
      <c r="Q16" s="1">
        <v>5.6697358606472899E-4</v>
      </c>
      <c r="R16" s="1">
        <v>5.6696948108020699E-4</v>
      </c>
      <c r="S16" s="1">
        <v>5.6696669407345997E-4</v>
      </c>
      <c r="T16" s="1">
        <v>5.6696480188075699E-4</v>
      </c>
      <c r="U16" s="1">
        <v>5.6696351720572895E-4</v>
      </c>
      <c r="V16" s="1">
        <v>5.6696264499466495E-4</v>
      </c>
      <c r="W16" s="1">
        <v>5.6696205281953299E-4</v>
      </c>
      <c r="X16" s="1">
        <v>5.6696165077059404E-4</v>
      </c>
      <c r="Y16" s="1">
        <v>5.6696137780507102E-4</v>
      </c>
      <c r="Z16" s="1">
        <v>5.6696119247889897E-4</v>
      </c>
      <c r="AA16" s="1">
        <v>5.6696106665423698E-4</v>
      </c>
      <c r="AB16" s="1">
        <v>5.6696098122730203E-4</v>
      </c>
      <c r="AC16" s="1">
        <v>5.6696092322784805E-4</v>
      </c>
      <c r="AD16" s="1">
        <v>5.6696088384990703E-4</v>
      </c>
      <c r="AE16" s="1">
        <v>5.6696085711478803E-4</v>
      </c>
      <c r="AF16" s="1">
        <v>5.6696083896334197E-4</v>
      </c>
      <c r="AG16" s="1">
        <v>5.6696082663966398E-4</v>
      </c>
      <c r="AH16" s="1">
        <v>5.6696081827266895E-4</v>
      </c>
    </row>
    <row r="17" spans="1:34" x14ac:dyDescent="0.25">
      <c r="A17" s="2">
        <v>15</v>
      </c>
      <c r="B17" s="1">
        <v>6.9739461431517701E-4</v>
      </c>
      <c r="C17" s="1">
        <v>6.9588185410510205E-4</v>
      </c>
      <c r="D17" s="1">
        <v>6.9485665604943102E-4</v>
      </c>
      <c r="E17" s="1">
        <v>6.9416147236427996E-4</v>
      </c>
      <c r="F17" s="1">
        <v>6.9368988311859403E-4</v>
      </c>
      <c r="G17" s="1">
        <v>6.9336988653295295E-4</v>
      </c>
      <c r="H17" s="1">
        <v>6.9315271328868695E-4</v>
      </c>
      <c r="I17" s="1">
        <v>6.9300530521040796E-4</v>
      </c>
      <c r="J17" s="1">
        <v>6.9290524235180698E-4</v>
      </c>
      <c r="K17" s="1">
        <v>6.92837314260154E-4</v>
      </c>
      <c r="L17" s="1">
        <v>6.9279119919584396E-4</v>
      </c>
      <c r="M17" s="1">
        <v>6.9275989174588301E-4</v>
      </c>
      <c r="N17" s="1">
        <v>6.9273863678254903E-4</v>
      </c>
      <c r="O17" s="1">
        <v>6.9272420638442705E-4</v>
      </c>
      <c r="P17" s="1">
        <v>6.9271440923219802E-4</v>
      </c>
      <c r="Q17" s="1">
        <v>6.9270775766723796E-4</v>
      </c>
      <c r="R17" s="1">
        <v>6.9270324171362505E-4</v>
      </c>
      <c r="S17" s="1">
        <v>6.9270017568481498E-4</v>
      </c>
      <c r="T17" s="1">
        <v>6.92698094053785E-4</v>
      </c>
      <c r="U17" s="1">
        <v>6.9269668076213495E-4</v>
      </c>
      <c r="V17" s="1">
        <v>6.9269572122854098E-4</v>
      </c>
      <c r="W17" s="1">
        <v>6.9269506976695004E-4</v>
      </c>
      <c r="X17" s="1">
        <v>6.9269462746627099E-4</v>
      </c>
      <c r="Y17" s="1">
        <v>6.92694327172371E-4</v>
      </c>
      <c r="Z17" s="1">
        <v>6.9269412329196701E-4</v>
      </c>
      <c r="AA17" s="1">
        <v>6.9269398487016001E-4</v>
      </c>
      <c r="AB17" s="1">
        <v>6.9269389089056399E-4</v>
      </c>
      <c r="AC17" s="1">
        <v>6.9269382708439498E-4</v>
      </c>
      <c r="AD17" s="1">
        <v>6.9269378376406502E-4</v>
      </c>
      <c r="AE17" s="1">
        <v>6.9269375435231496E-4</v>
      </c>
      <c r="AF17" s="1">
        <v>6.9269373438360501E-4</v>
      </c>
      <c r="AG17" s="1">
        <v>6.9269372082612002E-4</v>
      </c>
      <c r="AH17" s="1">
        <v>6.9269371162145E-4</v>
      </c>
    </row>
    <row r="18" spans="1:34" x14ac:dyDescent="0.25">
      <c r="A18" s="2">
        <v>16</v>
      </c>
      <c r="B18" s="1">
        <v>8.7076110738041701E-4</v>
      </c>
      <c r="C18" s="1">
        <v>8.6894259465139403E-4</v>
      </c>
      <c r="D18" s="1">
        <v>8.6771010413865099E-4</v>
      </c>
      <c r="E18" s="1">
        <v>8.6687431744999501E-4</v>
      </c>
      <c r="F18" s="1">
        <v>8.66307330066018E-4</v>
      </c>
      <c r="G18" s="1">
        <v>8.6592259293950997E-4</v>
      </c>
      <c r="H18" s="1">
        <v>8.6566147822166701E-4</v>
      </c>
      <c r="I18" s="1">
        <v>8.6548424277640903E-4</v>
      </c>
      <c r="J18" s="1">
        <v>8.6536393184288797E-4</v>
      </c>
      <c r="K18" s="1">
        <v>8.6528225789096898E-4</v>
      </c>
      <c r="L18" s="1">
        <v>8.6522681085829704E-4</v>
      </c>
      <c r="M18" s="1">
        <v>8.6518916787009395E-4</v>
      </c>
      <c r="N18" s="1">
        <v>8.6516361160574604E-4</v>
      </c>
      <c r="O18" s="1">
        <v>8.6514626095602503E-4</v>
      </c>
      <c r="P18" s="1">
        <v>8.6513448116546797E-4</v>
      </c>
      <c r="Q18" s="1">
        <v>8.6512648352747904E-4</v>
      </c>
      <c r="R18" s="1">
        <v>8.6512105368153301E-4</v>
      </c>
      <c r="S18" s="1">
        <v>8.6511736718053499E-4</v>
      </c>
      <c r="T18" s="1">
        <v>8.6511486428952596E-4</v>
      </c>
      <c r="U18" s="1">
        <v>8.6511316498967701E-4</v>
      </c>
      <c r="V18" s="1">
        <v>8.6511201127494595E-4</v>
      </c>
      <c r="W18" s="1">
        <v>8.6511122797682102E-4</v>
      </c>
      <c r="X18" s="1">
        <v>8.6511069616756401E-4</v>
      </c>
      <c r="Y18" s="1">
        <v>8.6511033510305402E-4</v>
      </c>
      <c r="Z18" s="1">
        <v>8.6511008996327705E-4</v>
      </c>
      <c r="AA18" s="1">
        <v>8.6510992352898297E-4</v>
      </c>
      <c r="AB18" s="1">
        <v>8.6510981053068996E-4</v>
      </c>
      <c r="AC18" s="1">
        <v>8.6510973381203704E-4</v>
      </c>
      <c r="AD18" s="1">
        <v>8.6510968172495001E-4</v>
      </c>
      <c r="AE18" s="1">
        <v>8.6510964636112801E-4</v>
      </c>
      <c r="AF18" s="1">
        <v>8.6510962235134101E-4</v>
      </c>
      <c r="AG18" s="1">
        <v>8.6510960605022203E-4</v>
      </c>
      <c r="AH18" s="1">
        <v>8.6510959498279803E-4</v>
      </c>
    </row>
    <row r="19" spans="1:34" x14ac:dyDescent="0.25">
      <c r="A19" s="2">
        <v>17</v>
      </c>
      <c r="B19" s="1">
        <v>1.08891446712216E-3</v>
      </c>
      <c r="C19" s="1">
        <v>1.0865709877601001E-3</v>
      </c>
      <c r="D19" s="1">
        <v>1.0849827877646601E-3</v>
      </c>
      <c r="E19" s="1">
        <v>1.0839058234417599E-3</v>
      </c>
      <c r="F19" s="1">
        <v>1.0831752421004001E-3</v>
      </c>
      <c r="G19" s="1">
        <v>1.08267950431411E-3</v>
      </c>
      <c r="H19" s="1">
        <v>1.08234305910204E-3</v>
      </c>
      <c r="I19" s="1">
        <v>1.08211469373718E-3</v>
      </c>
      <c r="J19" s="1">
        <v>1.0819596756111E-3</v>
      </c>
      <c r="K19" s="1">
        <v>1.0818544408027E-3</v>
      </c>
      <c r="L19" s="1">
        <v>1.0817829988844199E-3</v>
      </c>
      <c r="M19" s="1">
        <v>1.0817344970483901E-3</v>
      </c>
      <c r="N19" s="1">
        <v>1.081701568622E-3</v>
      </c>
      <c r="O19" s="1">
        <v>1.0816792128835601E-3</v>
      </c>
      <c r="P19" s="1">
        <v>1.08166403502071E-3</v>
      </c>
      <c r="Q19" s="1">
        <v>1.0816537303374801E-3</v>
      </c>
      <c r="R19" s="1">
        <v>1.0816467341681899E-3</v>
      </c>
      <c r="S19" s="1">
        <v>1.0816419842395199E-3</v>
      </c>
      <c r="T19" s="1">
        <v>1.08163875935162E-3</v>
      </c>
      <c r="U19" s="1">
        <v>1.0816365698631E-3</v>
      </c>
      <c r="V19" s="1">
        <v>1.08163508334203E-3</v>
      </c>
      <c r="W19" s="1">
        <v>1.0816340740898401E-3</v>
      </c>
      <c r="X19" s="1">
        <v>1.08163338887225E-3</v>
      </c>
      <c r="Y19" s="1">
        <v>1.0816329236533E-3</v>
      </c>
      <c r="Z19" s="1">
        <v>1.0816326077992999E-3</v>
      </c>
      <c r="AA19" s="1">
        <v>1.08163239335455E-3</v>
      </c>
      <c r="AB19" s="1">
        <v>1.08163224776022E-3</v>
      </c>
      <c r="AC19" s="1">
        <v>1.0816321489109299E-3</v>
      </c>
      <c r="AD19" s="1">
        <v>1.0816320817985401E-3</v>
      </c>
      <c r="AE19" s="1">
        <v>1.0816320362335E-3</v>
      </c>
      <c r="AF19" s="1">
        <v>1.08163200529774E-3</v>
      </c>
      <c r="AG19" s="1">
        <v>1.0816319842943099E-3</v>
      </c>
      <c r="AH19" s="1">
        <v>1.08163197003433E-3</v>
      </c>
    </row>
    <row r="20" spans="1:34" x14ac:dyDescent="0.25">
      <c r="A20" s="2">
        <v>18</v>
      </c>
      <c r="B20" s="1">
        <v>1.3404917734480301E-3</v>
      </c>
      <c r="C20" s="1">
        <v>1.3378454833706799E-3</v>
      </c>
      <c r="D20" s="1">
        <v>1.3360517966257599E-3</v>
      </c>
      <c r="E20" s="1">
        <v>1.33483536719979E-3</v>
      </c>
      <c r="F20" s="1">
        <v>1.33401011976982E-3</v>
      </c>
      <c r="G20" s="1">
        <v>1.3334501198082999E-3</v>
      </c>
      <c r="H20" s="1">
        <v>1.3330700493136801E-3</v>
      </c>
      <c r="I20" s="1">
        <v>1.3328120672988001E-3</v>
      </c>
      <c r="J20" s="1">
        <v>1.3326369423381601E-3</v>
      </c>
      <c r="K20" s="1">
        <v>1.3325180567225999E-3</v>
      </c>
      <c r="L20" s="1">
        <v>1.3324373469838001E-3</v>
      </c>
      <c r="M20" s="1">
        <v>1.33238255298339E-3</v>
      </c>
      <c r="N20" s="1">
        <v>1.3323453526218299E-3</v>
      </c>
      <c r="O20" s="1">
        <v>1.3323200965314199E-3</v>
      </c>
      <c r="P20" s="1">
        <v>1.3323029495233599E-3</v>
      </c>
      <c r="Q20" s="1">
        <v>1.33229130792E-3</v>
      </c>
      <c r="R20" s="1">
        <v>1.3322834040689099E-3</v>
      </c>
      <c r="S20" s="1">
        <v>1.3322780378829E-3</v>
      </c>
      <c r="T20" s="1">
        <v>1.33227439459584E-3</v>
      </c>
      <c r="U20" s="1">
        <v>1.3322719210410801E-3</v>
      </c>
      <c r="V20" s="1">
        <v>1.33227024165717E-3</v>
      </c>
      <c r="W20" s="1">
        <v>1.3322691014634E-3</v>
      </c>
      <c r="X20" s="1">
        <v>1.33226832734482E-3</v>
      </c>
      <c r="Y20" s="1">
        <v>1.3322678017677501E-3</v>
      </c>
      <c r="Z20" s="1">
        <v>1.3322674449344301E-3</v>
      </c>
      <c r="AA20" s="1">
        <v>1.33226720266733E-3</v>
      </c>
      <c r="AB20" s="1">
        <v>1.3322670381833901E-3</v>
      </c>
      <c r="AC20" s="1">
        <v>1.3322669265092501E-3</v>
      </c>
      <c r="AD20" s="1">
        <v>1.33226685068962E-3</v>
      </c>
      <c r="AE20" s="1">
        <v>1.3322667992129E-3</v>
      </c>
      <c r="AF20" s="1">
        <v>1.3322667642634901E-3</v>
      </c>
      <c r="AG20" s="1">
        <v>1.3322667405350501E-3</v>
      </c>
      <c r="AH20" s="1">
        <v>1.3322667244249501E-3</v>
      </c>
    </row>
    <row r="21" spans="1:34" x14ac:dyDescent="0.25">
      <c r="A21" s="2">
        <v>19</v>
      </c>
      <c r="B21" s="1">
        <v>1.60087217798163E-3</v>
      </c>
      <c r="C21" s="1">
        <v>1.5987099648250801E-3</v>
      </c>
      <c r="D21" s="1">
        <v>1.59724362283898E-3</v>
      </c>
      <c r="E21" s="1">
        <v>1.5962488357959099E-3</v>
      </c>
      <c r="F21" s="1">
        <v>1.5955737914588599E-3</v>
      </c>
      <c r="G21" s="1">
        <v>1.5951156418239E-3</v>
      </c>
      <c r="H21" s="1">
        <v>1.5948046622501701E-3</v>
      </c>
      <c r="I21" s="1">
        <v>1.59459356140526E-3</v>
      </c>
      <c r="J21" s="1">
        <v>1.59445025325729E-3</v>
      </c>
      <c r="K21" s="1">
        <v>1.5943529634645499E-3</v>
      </c>
      <c r="L21" s="1">
        <v>1.5942869132573099E-3</v>
      </c>
      <c r="M21" s="1">
        <v>1.5942420709213799E-3</v>
      </c>
      <c r="N21" s="1">
        <v>1.59421162654261E-3</v>
      </c>
      <c r="O21" s="1">
        <v>1.5941909570747999E-3</v>
      </c>
      <c r="P21" s="1">
        <v>1.5941769239719899E-3</v>
      </c>
      <c r="Q21" s="1">
        <v>1.59416739645712E-3</v>
      </c>
      <c r="R21" s="1">
        <v>1.5941609279122801E-3</v>
      </c>
      <c r="S21" s="1">
        <v>1.5941565361962599E-3</v>
      </c>
      <c r="T21" s="1">
        <v>1.5941535545070001E-3</v>
      </c>
      <c r="U21" s="1">
        <v>1.5941515301326099E-3</v>
      </c>
      <c r="V21" s="1">
        <v>1.5941501557124799E-3</v>
      </c>
      <c r="W21" s="1">
        <v>1.59414922256921E-3</v>
      </c>
      <c r="X21" s="1">
        <v>1.59414858902452E-3</v>
      </c>
      <c r="Y21" s="1">
        <v>1.5941481588880801E-3</v>
      </c>
      <c r="Z21" s="1">
        <v>1.5941478668528299E-3</v>
      </c>
      <c r="AA21" s="1">
        <v>1.5941476685794799E-3</v>
      </c>
      <c r="AB21" s="1">
        <v>1.59414753396449E-3</v>
      </c>
      <c r="AC21" s="1">
        <v>1.59414744256946E-3</v>
      </c>
      <c r="AD21" s="1">
        <v>1.59414738051805E-3</v>
      </c>
      <c r="AE21" s="1">
        <v>1.5941473383890899E-3</v>
      </c>
      <c r="AF21" s="1">
        <v>1.5941473097861999E-3</v>
      </c>
      <c r="AG21" s="1">
        <v>1.5941472903666599E-3</v>
      </c>
      <c r="AH21" s="1">
        <v>1.5941472771820199E-3</v>
      </c>
    </row>
    <row r="22" spans="1:34" x14ac:dyDescent="0.25">
      <c r="A22" s="2">
        <v>20</v>
      </c>
      <c r="B22" s="1">
        <v>1.8398726649071901E-3</v>
      </c>
      <c r="C22" s="1">
        <v>1.8381167714500901E-3</v>
      </c>
      <c r="D22" s="1">
        <v>1.83692558565717E-3</v>
      </c>
      <c r="E22" s="1">
        <v>1.8361172857777801E-3</v>
      </c>
      <c r="F22" s="1">
        <v>1.83556870405353E-3</v>
      </c>
      <c r="G22" s="1">
        <v>1.8351963452487099E-3</v>
      </c>
      <c r="H22" s="1">
        <v>1.8349435802906E-3</v>
      </c>
      <c r="I22" s="1">
        <v>1.83477198876742E-3</v>
      </c>
      <c r="J22" s="1">
        <v>1.83465549816228E-3</v>
      </c>
      <c r="K22" s="1">
        <v>1.83457641265409E-3</v>
      </c>
      <c r="L22" s="1">
        <v>1.83452272055993E-3</v>
      </c>
      <c r="M22" s="1">
        <v>1.8344862679340801E-3</v>
      </c>
      <c r="N22" s="1">
        <v>1.8344615193296001E-3</v>
      </c>
      <c r="O22" s="1">
        <v>1.8344447167896599E-3</v>
      </c>
      <c r="P22" s="1">
        <v>1.8344333090202199E-3</v>
      </c>
      <c r="Q22" s="1">
        <v>1.8344255639099599E-3</v>
      </c>
      <c r="R22" s="1">
        <v>1.83442030549079E-3</v>
      </c>
      <c r="S22" s="1">
        <v>1.8344167353668501E-3</v>
      </c>
      <c r="T22" s="1">
        <v>1.83441431148348E-3</v>
      </c>
      <c r="U22" s="1">
        <v>1.8344126658224899E-3</v>
      </c>
      <c r="V22" s="1">
        <v>1.8344115485240801E-3</v>
      </c>
      <c r="W22" s="1">
        <v>1.83441078994984E-3</v>
      </c>
      <c r="X22" s="1">
        <v>1.8344102749262999E-3</v>
      </c>
      <c r="Y22" s="1">
        <v>1.8344099252581201E-3</v>
      </c>
      <c r="Z22" s="1">
        <v>1.8344096878556799E-3</v>
      </c>
      <c r="AA22" s="1">
        <v>1.8344095266745199E-3</v>
      </c>
      <c r="AB22" s="1">
        <v>1.83440941724277E-3</v>
      </c>
      <c r="AC22" s="1">
        <v>1.8344093429455599E-3</v>
      </c>
      <c r="AD22" s="1">
        <v>1.8344092925024801E-3</v>
      </c>
      <c r="AE22" s="1">
        <v>1.83440925825483E-3</v>
      </c>
      <c r="AF22" s="1">
        <v>1.83440923500286E-3</v>
      </c>
      <c r="AG22" s="1">
        <v>1.8344092192162399E-3</v>
      </c>
      <c r="AH22" s="1">
        <v>1.8344092084981399E-3</v>
      </c>
    </row>
    <row r="23" spans="1:34" x14ac:dyDescent="0.25">
      <c r="A23" s="2">
        <v>21</v>
      </c>
      <c r="B23" s="1">
        <v>2.0146940774388401E-3</v>
      </c>
      <c r="C23" s="1">
        <v>2.0128531389588399E-3</v>
      </c>
      <c r="D23" s="1">
        <v>2.0116042165671602E-3</v>
      </c>
      <c r="E23" s="1">
        <v>2.0107567188621402E-3</v>
      </c>
      <c r="F23" s="1">
        <v>2.01018152507198E-3</v>
      </c>
      <c r="G23" s="1">
        <v>2.0097910987200399E-3</v>
      </c>
      <c r="H23" s="1">
        <v>2.00952606720927E-3</v>
      </c>
      <c r="I23" s="1">
        <v>2.00934614755186E-3</v>
      </c>
      <c r="J23" s="1">
        <v>2.0092240027076201E-3</v>
      </c>
      <c r="K23" s="1">
        <v>2.0091410783464199E-3</v>
      </c>
      <c r="L23" s="1">
        <v>2.0090847799223901E-3</v>
      </c>
      <c r="M23" s="1">
        <v>2.0090465577675999E-3</v>
      </c>
      <c r="N23" s="1">
        <v>2.0090206077669399E-3</v>
      </c>
      <c r="O23" s="1">
        <v>2.0090029895560801E-3</v>
      </c>
      <c r="P23" s="1">
        <v>2.0089910279982299E-3</v>
      </c>
      <c r="Q23" s="1">
        <v>2.00898290690098E-3</v>
      </c>
      <c r="R23" s="1">
        <v>2.0089773932106098E-3</v>
      </c>
      <c r="S23" s="1">
        <v>2.0089736497737702E-3</v>
      </c>
      <c r="T23" s="1">
        <v>2.00897110822197E-3</v>
      </c>
      <c r="U23" s="1">
        <v>2.0089693826716099E-3</v>
      </c>
      <c r="V23" s="1">
        <v>2.0089682111333802E-3</v>
      </c>
      <c r="W23" s="1">
        <v>2.0089674157337499E-3</v>
      </c>
      <c r="X23" s="1">
        <v>2.0089668757081198E-3</v>
      </c>
      <c r="Y23" s="1">
        <v>2.00896650906511E-3</v>
      </c>
      <c r="Z23" s="1">
        <v>2.0089662601378302E-3</v>
      </c>
      <c r="AA23" s="1">
        <v>2.0089660911320499E-3</v>
      </c>
      <c r="AB23" s="1">
        <v>2.00896597638787E-3</v>
      </c>
      <c r="AC23" s="1">
        <v>2.0089658984838599E-3</v>
      </c>
      <c r="AD23" s="1">
        <v>2.0089658455919898E-3</v>
      </c>
      <c r="AE23" s="1">
        <v>2.0089658096817701E-3</v>
      </c>
      <c r="AF23" s="1">
        <v>2.0089657853010201E-3</v>
      </c>
      <c r="AG23" s="1">
        <v>2.0089657687480298E-3</v>
      </c>
      <c r="AH23" s="1">
        <v>2.0089657575096099E-3</v>
      </c>
    </row>
    <row r="24" spans="1:34" x14ac:dyDescent="0.25">
      <c r="A24" s="2">
        <v>22</v>
      </c>
      <c r="B24" s="1">
        <v>2.1545197718398001E-3</v>
      </c>
      <c r="C24" s="1">
        <v>2.1524851382641701E-3</v>
      </c>
      <c r="D24" s="1">
        <v>2.1511048453715098E-3</v>
      </c>
      <c r="E24" s="1">
        <v>2.1501682181559799E-3</v>
      </c>
      <c r="F24" s="1">
        <v>2.14953253998273E-3</v>
      </c>
      <c r="G24" s="1">
        <v>2.1491010618902399E-3</v>
      </c>
      <c r="H24" s="1">
        <v>2.1488081649908299E-3</v>
      </c>
      <c r="I24" s="1">
        <v>2.1486093293324E-3</v>
      </c>
      <c r="J24" s="1">
        <v>2.1484743430284598E-3</v>
      </c>
      <c r="K24" s="1">
        <v>2.1483827007326602E-3</v>
      </c>
      <c r="L24" s="1">
        <v>2.1483204836617899E-3</v>
      </c>
      <c r="M24" s="1">
        <v>2.1482782432494401E-3</v>
      </c>
      <c r="N24" s="1">
        <v>2.1482495651660299E-3</v>
      </c>
      <c r="O24" s="1">
        <v>2.1482300947874202E-3</v>
      </c>
      <c r="P24" s="1">
        <v>2.14821687573785E-3</v>
      </c>
      <c r="Q24" s="1">
        <v>2.1482079008893701E-3</v>
      </c>
      <c r="R24" s="1">
        <v>2.1482018075588099E-3</v>
      </c>
      <c r="S24" s="1">
        <v>2.1481976705843399E-3</v>
      </c>
      <c r="T24" s="1">
        <v>2.1481948618460602E-3</v>
      </c>
      <c r="U24" s="1">
        <v>2.1481929548933E-3</v>
      </c>
      <c r="V24" s="1">
        <v>2.1481916601945E-3</v>
      </c>
      <c r="W24" s="1">
        <v>2.14819078117672E-3</v>
      </c>
      <c r="X24" s="1">
        <v>2.1481901843796998E-3</v>
      </c>
      <c r="Y24" s="1">
        <v>2.1481897791925299E-3</v>
      </c>
      <c r="Z24" s="1">
        <v>2.14818950409624E-3</v>
      </c>
      <c r="AA24" s="1">
        <v>2.1481893173233499E-3</v>
      </c>
      <c r="AB24" s="1">
        <v>2.1481891905164299E-3</v>
      </c>
      <c r="AC24" s="1">
        <v>2.1481891044225999E-3</v>
      </c>
      <c r="AD24" s="1">
        <v>2.1481890459703599E-3</v>
      </c>
      <c r="AE24" s="1">
        <v>2.1481890062849999E-3</v>
      </c>
      <c r="AF24" s="1">
        <v>2.1481889793411599E-3</v>
      </c>
      <c r="AG24" s="1">
        <v>2.1481889610480099E-3</v>
      </c>
      <c r="AH24" s="1">
        <v>2.1481889486281202E-3</v>
      </c>
    </row>
    <row r="25" spans="1:34" x14ac:dyDescent="0.25">
      <c r="A25" s="2">
        <v>23</v>
      </c>
      <c r="B25" s="1">
        <v>2.2768916766316202E-3</v>
      </c>
      <c r="C25" s="1">
        <v>2.2752813145155699E-3</v>
      </c>
      <c r="D25" s="1">
        <v>2.27418862940236E-3</v>
      </c>
      <c r="E25" s="1">
        <v>2.2734470643895502E-3</v>
      </c>
      <c r="F25" s="1">
        <v>2.2729437265267801E-3</v>
      </c>
      <c r="G25" s="1">
        <v>2.2726020555403599E-3</v>
      </c>
      <c r="H25" s="1">
        <v>2.27237011188829E-3</v>
      </c>
      <c r="I25" s="1">
        <v>2.2722126503617601E-3</v>
      </c>
      <c r="J25" s="1">
        <v>2.2721057502012301E-3</v>
      </c>
      <c r="K25" s="1">
        <v>2.2720331746472898E-3</v>
      </c>
      <c r="L25" s="1">
        <v>2.2719839017769799E-3</v>
      </c>
      <c r="M25" s="1">
        <v>2.2719504492369098E-3</v>
      </c>
      <c r="N25" s="1">
        <v>2.2719277373680099E-3</v>
      </c>
      <c r="O25" s="1">
        <v>2.2719123175812699E-3</v>
      </c>
      <c r="P25" s="1">
        <v>2.2719018485853398E-3</v>
      </c>
      <c r="Q25" s="1">
        <v>2.27189474082972E-3</v>
      </c>
      <c r="R25" s="1">
        <v>2.2718899151279001E-3</v>
      </c>
      <c r="S25" s="1">
        <v>2.2718866387887999E-3</v>
      </c>
      <c r="T25" s="1">
        <v>2.2718844143654001E-3</v>
      </c>
      <c r="U25" s="1">
        <v>2.27188290412448E-3</v>
      </c>
      <c r="V25" s="1">
        <v>2.2718818787674198E-3</v>
      </c>
      <c r="W25" s="1">
        <v>2.2718811826153802E-3</v>
      </c>
      <c r="X25" s="1">
        <v>2.2718807099725001E-3</v>
      </c>
      <c r="Y25" s="1">
        <v>2.2718803890780701E-3</v>
      </c>
      <c r="Z25" s="1">
        <v>2.2718801712111698E-3</v>
      </c>
      <c r="AA25" s="1">
        <v>2.2718800232933902E-3</v>
      </c>
      <c r="AB25" s="1">
        <v>2.27187992286663E-3</v>
      </c>
      <c r="AC25" s="1">
        <v>2.2718798546832401E-3</v>
      </c>
      <c r="AD25" s="1">
        <v>2.2718798083910499E-3</v>
      </c>
      <c r="AE25" s="1">
        <v>2.2718797769615902E-3</v>
      </c>
      <c r="AF25" s="1">
        <v>2.27187975562299E-3</v>
      </c>
      <c r="AG25" s="1">
        <v>2.27187974113543E-3</v>
      </c>
      <c r="AH25" s="1">
        <v>2.2718797312993098E-3</v>
      </c>
    </row>
    <row r="26" spans="1:34" x14ac:dyDescent="0.25">
      <c r="A26" s="2">
        <v>24</v>
      </c>
      <c r="B26" s="1">
        <v>2.3819678100505302E-3</v>
      </c>
      <c r="C26" s="1">
        <v>2.3806442547648502E-3</v>
      </c>
      <c r="D26" s="1">
        <v>2.37974606350489E-3</v>
      </c>
      <c r="E26" s="1">
        <v>2.37913644162534E-3</v>
      </c>
      <c r="F26" s="1">
        <v>2.3787226360046602E-3</v>
      </c>
      <c r="G26" s="1">
        <v>2.3784417292521901E-3</v>
      </c>
      <c r="H26" s="1">
        <v>2.3782510302989401E-3</v>
      </c>
      <c r="I26" s="1">
        <v>2.3781215665297801E-3</v>
      </c>
      <c r="J26" s="1">
        <v>2.3780336728679301E-3</v>
      </c>
      <c r="K26" s="1">
        <v>2.37797400050509E-3</v>
      </c>
      <c r="L26" s="1">
        <v>2.3779334876143899E-3</v>
      </c>
      <c r="M26" s="1">
        <v>2.3779059823284899E-3</v>
      </c>
      <c r="N26" s="1">
        <v>2.3778873081680202E-3</v>
      </c>
      <c r="O26" s="1">
        <v>2.3778746296830001E-3</v>
      </c>
      <c r="P26" s="1">
        <v>2.3778660218356801E-3</v>
      </c>
      <c r="Q26" s="1">
        <v>2.3778601776719799E-3</v>
      </c>
      <c r="R26" s="1">
        <v>2.3778562098643202E-3</v>
      </c>
      <c r="S26" s="1">
        <v>2.3778535159787702E-3</v>
      </c>
      <c r="T26" s="1">
        <v>2.3778516870033798E-3</v>
      </c>
      <c r="U26" s="1">
        <v>2.3778504452460899E-3</v>
      </c>
      <c r="V26" s="1">
        <v>2.3778496021721598E-3</v>
      </c>
      <c r="W26" s="1">
        <v>2.37784902977869E-3</v>
      </c>
      <c r="X26" s="1">
        <v>2.3778486411599798E-3</v>
      </c>
      <c r="Y26" s="1">
        <v>2.3778483773125901E-3</v>
      </c>
      <c r="Z26" s="1">
        <v>2.3778481981770001E-3</v>
      </c>
      <c r="AA26" s="1">
        <v>2.3778480765553199E-3</v>
      </c>
      <c r="AB26" s="1">
        <v>2.37784799398193E-3</v>
      </c>
      <c r="AC26" s="1">
        <v>2.3778479379198501E-3</v>
      </c>
      <c r="AD26" s="1">
        <v>2.3778478998572601E-3</v>
      </c>
      <c r="AE26" s="1">
        <v>2.3778478740151799E-3</v>
      </c>
      <c r="AF26" s="1">
        <v>2.37784785647005E-3</v>
      </c>
      <c r="AG26" s="1">
        <v>2.3778478445580201E-3</v>
      </c>
      <c r="AH26" s="1">
        <v>2.3778478364704998E-3</v>
      </c>
    </row>
    <row r="27" spans="1:34" x14ac:dyDescent="0.25">
      <c r="A27" s="2">
        <v>25</v>
      </c>
      <c r="B27" s="1">
        <v>2.4381876542886099E-3</v>
      </c>
      <c r="C27" s="1">
        <v>2.4368593110632099E-3</v>
      </c>
      <c r="D27" s="1">
        <v>2.4359578623948499E-3</v>
      </c>
      <c r="E27" s="1">
        <v>2.43534602585557E-3</v>
      </c>
      <c r="F27" s="1">
        <v>2.4349307151997701E-3</v>
      </c>
      <c r="G27" s="1">
        <v>2.4346487859689399E-3</v>
      </c>
      <c r="H27" s="1">
        <v>2.43445739251594E-3</v>
      </c>
      <c r="I27" s="1">
        <v>2.4343274570864299E-3</v>
      </c>
      <c r="J27" s="1">
        <v>2.4342392431330301E-3</v>
      </c>
      <c r="K27" s="1">
        <v>2.4341793532830299E-3</v>
      </c>
      <c r="L27" s="1">
        <v>2.4341386927187402E-3</v>
      </c>
      <c r="M27" s="1">
        <v>2.43411108716558E-3</v>
      </c>
      <c r="N27" s="1">
        <v>2.43409234492711E-3</v>
      </c>
      <c r="O27" s="1">
        <v>2.4340796202201201E-3</v>
      </c>
      <c r="P27" s="1">
        <v>2.4340709809904E-3</v>
      </c>
      <c r="Q27" s="1">
        <v>2.43406511551977E-3</v>
      </c>
      <c r="R27" s="1">
        <v>2.4340611332459199E-3</v>
      </c>
      <c r="S27" s="1">
        <v>2.43405842953869E-3</v>
      </c>
      <c r="T27" s="1">
        <v>2.4340565938949701E-3</v>
      </c>
      <c r="U27" s="1">
        <v>2.4340553476103E-3</v>
      </c>
      <c r="V27" s="1">
        <v>2.43405450146256E-3</v>
      </c>
      <c r="W27" s="1">
        <v>2.4340539269821701E-3</v>
      </c>
      <c r="X27" s="1">
        <v>2.43405353694656E-3</v>
      </c>
      <c r="Y27" s="1">
        <v>2.4340532721371902E-3</v>
      </c>
      <c r="Z27" s="1">
        <v>2.4340530923484798E-3</v>
      </c>
      <c r="AA27" s="1">
        <v>2.4340529702833701E-3</v>
      </c>
      <c r="AB27" s="1">
        <v>2.4340528874089201E-3</v>
      </c>
      <c r="AC27" s="1">
        <v>2.4340528311424399E-3</v>
      </c>
      <c r="AD27" s="1">
        <v>2.4340527929410699E-3</v>
      </c>
      <c r="AE27" s="1">
        <v>2.4340527670047699E-3</v>
      </c>
      <c r="AF27" s="1">
        <v>2.43405274939567E-3</v>
      </c>
      <c r="AG27" s="1">
        <v>2.4340527374402099E-3</v>
      </c>
      <c r="AH27" s="1">
        <v>2.4340527293232098E-3</v>
      </c>
    </row>
    <row r="28" spans="1:34" x14ac:dyDescent="0.25">
      <c r="A28" s="2">
        <v>26</v>
      </c>
      <c r="B28" s="1">
        <v>2.4760514944230701E-3</v>
      </c>
      <c r="C28" s="1">
        <v>2.4742927937674102E-3</v>
      </c>
      <c r="D28" s="1">
        <v>2.47309945889655E-3</v>
      </c>
      <c r="E28" s="1">
        <v>2.4722895879733301E-3</v>
      </c>
      <c r="F28" s="1">
        <v>2.4717398880449199E-3</v>
      </c>
      <c r="G28" s="1">
        <v>2.4713667462943302E-3</v>
      </c>
      <c r="H28" s="1">
        <v>2.4711134388193299E-3</v>
      </c>
      <c r="I28" s="1">
        <v>2.4709414739171099E-3</v>
      </c>
      <c r="J28" s="1">
        <v>2.47082472748641E-3</v>
      </c>
      <c r="K28" s="1">
        <v>2.4707454672173701E-3</v>
      </c>
      <c r="L28" s="1">
        <v>2.47069165597779E-3</v>
      </c>
      <c r="M28" s="1">
        <v>2.4706551222321298E-3</v>
      </c>
      <c r="N28" s="1">
        <v>2.4706303184474998E-3</v>
      </c>
      <c r="O28" s="1">
        <v>2.4706134783953901E-3</v>
      </c>
      <c r="P28" s="1">
        <v>2.4706020451352702E-3</v>
      </c>
      <c r="Q28" s="1">
        <v>2.4705942827081798E-3</v>
      </c>
      <c r="R28" s="1">
        <v>2.4705890125272501E-3</v>
      </c>
      <c r="S28" s="1">
        <v>2.4705854344156401E-3</v>
      </c>
      <c r="T28" s="1">
        <v>2.4705830051081402E-3</v>
      </c>
      <c r="U28" s="1">
        <v>2.4705813557640501E-3</v>
      </c>
      <c r="V28" s="1">
        <v>2.4705802359648301E-3</v>
      </c>
      <c r="W28" s="1">
        <v>2.4705794756926E-3</v>
      </c>
      <c r="X28" s="1">
        <v>2.4705789595161902E-3</v>
      </c>
      <c r="Y28" s="1">
        <v>2.4705786090652602E-3</v>
      </c>
      <c r="Z28" s="1">
        <v>2.4705783711313802E-3</v>
      </c>
      <c r="AA28" s="1">
        <v>2.4705782095893998E-3</v>
      </c>
      <c r="AB28" s="1">
        <v>2.4705780999126699E-3</v>
      </c>
      <c r="AC28" s="1">
        <v>2.4705780254491399E-3</v>
      </c>
      <c r="AD28" s="1">
        <v>2.47057797489313E-3</v>
      </c>
      <c r="AE28" s="1">
        <v>2.4705779405688202E-3</v>
      </c>
      <c r="AF28" s="1">
        <v>2.47057791726479E-3</v>
      </c>
      <c r="AG28" s="1">
        <v>2.4705779014428299E-3</v>
      </c>
      <c r="AH28" s="1">
        <v>2.47057789070073E-3</v>
      </c>
    </row>
    <row r="29" spans="1:34" x14ac:dyDescent="0.25">
      <c r="A29" s="2">
        <v>27</v>
      </c>
      <c r="B29" s="1">
        <v>2.5038495988768299E-3</v>
      </c>
      <c r="C29" s="1">
        <v>2.5016806167830101E-3</v>
      </c>
      <c r="D29" s="1">
        <v>2.5002090853765398E-3</v>
      </c>
      <c r="E29" s="1">
        <v>2.4992105017921E-3</v>
      </c>
      <c r="F29" s="1">
        <v>2.4985327540221901E-3</v>
      </c>
      <c r="G29" s="1">
        <v>2.4980727109720101E-3</v>
      </c>
      <c r="H29" s="1">
        <v>2.4977604191877699E-3</v>
      </c>
      <c r="I29" s="1">
        <v>2.4975484151310901E-3</v>
      </c>
      <c r="J29" s="1">
        <v>2.4974044880893302E-3</v>
      </c>
      <c r="K29" s="1">
        <v>2.4973067754936501E-3</v>
      </c>
      <c r="L29" s="1">
        <v>2.4972404370255498E-3</v>
      </c>
      <c r="M29" s="1">
        <v>2.4971953984236099E-3</v>
      </c>
      <c r="N29" s="1">
        <v>2.4971648205367901E-3</v>
      </c>
      <c r="O29" s="1">
        <v>2.49714406030754E-3</v>
      </c>
      <c r="P29" s="1">
        <v>2.4971299655291101E-3</v>
      </c>
      <c r="Q29" s="1">
        <v>2.49712039611535E-3</v>
      </c>
      <c r="R29" s="1">
        <v>2.4971138991122699E-3</v>
      </c>
      <c r="S29" s="1">
        <v>2.4971094880695799E-3</v>
      </c>
      <c r="T29" s="1">
        <v>2.4971064932562898E-3</v>
      </c>
      <c r="U29" s="1">
        <v>2.4971044599703899E-3</v>
      </c>
      <c r="V29" s="1">
        <v>2.4971030794993798E-3</v>
      </c>
      <c r="W29" s="1">
        <v>2.4971021422477099E-3</v>
      </c>
      <c r="X29" s="1">
        <v>2.49710150591358E-3</v>
      </c>
      <c r="Y29" s="1">
        <v>2.4971010738832201E-3</v>
      </c>
      <c r="Z29" s="1">
        <v>2.4971007805621001E-3</v>
      </c>
      <c r="AA29" s="1">
        <v>2.4971005814157202E-3</v>
      </c>
      <c r="AB29" s="1">
        <v>2.4971004462079802E-3</v>
      </c>
      <c r="AC29" s="1">
        <v>2.4971003544105299E-3</v>
      </c>
      <c r="AD29" s="1">
        <v>2.4971002920858901E-3</v>
      </c>
      <c r="AE29" s="1">
        <v>2.4971002497714201E-3</v>
      </c>
      <c r="AF29" s="1">
        <v>2.49710022104258E-3</v>
      </c>
      <c r="AG29" s="1">
        <v>2.4971002015375301E-3</v>
      </c>
      <c r="AH29" s="1">
        <v>2.4971001882948402E-3</v>
      </c>
    </row>
    <row r="30" spans="1:34" x14ac:dyDescent="0.25">
      <c r="A30" s="2">
        <v>28</v>
      </c>
      <c r="B30" s="1">
        <v>2.54193411984307E-3</v>
      </c>
      <c r="C30" s="1">
        <v>2.5399409060809898E-3</v>
      </c>
      <c r="D30" s="1">
        <v>2.5385885303104202E-3</v>
      </c>
      <c r="E30" s="1">
        <v>2.5376707629843E-3</v>
      </c>
      <c r="F30" s="1">
        <v>2.53704784615344E-3</v>
      </c>
      <c r="G30" s="1">
        <v>2.5366250122419E-3</v>
      </c>
      <c r="H30" s="1">
        <v>2.5363379749949802E-3</v>
      </c>
      <c r="I30" s="1">
        <v>2.5361431134298699E-3</v>
      </c>
      <c r="J30" s="1">
        <v>2.5360108233294099E-3</v>
      </c>
      <c r="K30" s="1">
        <v>2.5359210106841502E-3</v>
      </c>
      <c r="L30" s="1">
        <v>2.5358600354147701E-3</v>
      </c>
      <c r="M30" s="1">
        <v>2.5358186379154601E-3</v>
      </c>
      <c r="N30" s="1">
        <v>2.5357905320282899E-3</v>
      </c>
      <c r="O30" s="1">
        <v>2.5357714500939201E-3</v>
      </c>
      <c r="P30" s="1">
        <v>2.5357584947545901E-3</v>
      </c>
      <c r="Q30" s="1">
        <v>2.53574969893997E-3</v>
      </c>
      <c r="R30" s="1">
        <v>2.5357437271580499E-3</v>
      </c>
      <c r="S30" s="1">
        <v>2.5357396727055401E-3</v>
      </c>
      <c r="T30" s="1">
        <v>2.5357369199935798E-3</v>
      </c>
      <c r="U30" s="1">
        <v>2.5357350510787501E-3</v>
      </c>
      <c r="V30" s="1">
        <v>2.5357337822051098E-3</v>
      </c>
      <c r="W30" s="1">
        <v>2.5357329207208899E-3</v>
      </c>
      <c r="X30" s="1">
        <v>2.5357323358280001E-3</v>
      </c>
      <c r="Y30" s="1">
        <v>2.5357319387229699E-3</v>
      </c>
      <c r="Z30" s="1">
        <v>2.5357316691139099E-3</v>
      </c>
      <c r="AA30" s="1">
        <v>2.5357314860665098E-3</v>
      </c>
      <c r="AB30" s="1">
        <v>2.5357313617889701E-3</v>
      </c>
      <c r="AC30" s="1">
        <v>2.5357312774124102E-3</v>
      </c>
      <c r="AD30" s="1">
        <v>2.5357312201260899E-3</v>
      </c>
      <c r="AE30" s="1">
        <v>2.5357311812323198E-3</v>
      </c>
      <c r="AF30" s="1">
        <v>2.5357311548259201E-3</v>
      </c>
      <c r="AG30" s="1">
        <v>2.5357311368976601E-3</v>
      </c>
      <c r="AH30" s="1">
        <v>2.5357311247255002E-3</v>
      </c>
    </row>
    <row r="31" spans="1:34" x14ac:dyDescent="0.25">
      <c r="A31" s="2">
        <v>29</v>
      </c>
      <c r="B31" s="1">
        <v>2.56974078781599E-3</v>
      </c>
      <c r="C31" s="1">
        <v>2.5680597743522799E-3</v>
      </c>
      <c r="D31" s="1">
        <v>2.5669190989900999E-3</v>
      </c>
      <c r="E31" s="1">
        <v>2.5661449413045601E-3</v>
      </c>
      <c r="F31" s="1">
        <v>2.5656194703252899E-3</v>
      </c>
      <c r="G31" s="1">
        <v>2.5652627701652801E-3</v>
      </c>
      <c r="H31" s="1">
        <v>2.5650206216485099E-3</v>
      </c>
      <c r="I31" s="1">
        <v>2.5648562312014802E-3</v>
      </c>
      <c r="J31" s="1">
        <v>2.56474462652953E-3</v>
      </c>
      <c r="K31" s="1">
        <v>2.5646688568123099E-3</v>
      </c>
      <c r="L31" s="1">
        <v>2.5646174152624702E-3</v>
      </c>
      <c r="M31" s="1">
        <v>2.5645824903057801E-3</v>
      </c>
      <c r="N31" s="1">
        <v>2.56455877874985E-3</v>
      </c>
      <c r="O31" s="1">
        <v>2.5645426802346802E-3</v>
      </c>
      <c r="P31" s="1">
        <v>2.5645317504232098E-3</v>
      </c>
      <c r="Q31" s="1">
        <v>2.5645243298021499E-3</v>
      </c>
      <c r="R31" s="1">
        <v>2.5645192916841498E-3</v>
      </c>
      <c r="S31" s="1">
        <v>2.5645158711277501E-3</v>
      </c>
      <c r="T31" s="1">
        <v>2.5645135487898799E-3</v>
      </c>
      <c r="U31" s="1">
        <v>2.5645119720712102E-3</v>
      </c>
      <c r="V31" s="1">
        <v>2.5645109015799599E-3</v>
      </c>
      <c r="W31" s="1">
        <v>2.5645101747846701E-3</v>
      </c>
      <c r="X31" s="1">
        <v>2.5645096813369699E-3</v>
      </c>
      <c r="Y31" s="1">
        <v>2.5645093463173801E-3</v>
      </c>
      <c r="Z31" s="1">
        <v>2.5645091188603898E-3</v>
      </c>
      <c r="AA31" s="1">
        <v>2.5645089644315499E-3</v>
      </c>
      <c r="AB31" s="1">
        <v>2.5645088595841899E-3</v>
      </c>
      <c r="AC31" s="1">
        <v>2.5645087883994998E-3</v>
      </c>
      <c r="AD31" s="1">
        <v>2.5645087400696098E-3</v>
      </c>
      <c r="AE31" s="1">
        <v>2.5645087072566899E-3</v>
      </c>
      <c r="AF31" s="1">
        <v>2.5645086849788098E-3</v>
      </c>
      <c r="AG31" s="1">
        <v>2.5645086698535399E-3</v>
      </c>
      <c r="AH31" s="1">
        <v>2.5645086595844401E-3</v>
      </c>
    </row>
    <row r="32" spans="1:34" x14ac:dyDescent="0.25">
      <c r="A32" s="2">
        <v>30</v>
      </c>
      <c r="B32" s="1">
        <v>2.57231557123181E-3</v>
      </c>
      <c r="C32" s="1">
        <v>2.56986952981202E-3</v>
      </c>
      <c r="D32" s="1">
        <v>2.5682101472008201E-3</v>
      </c>
      <c r="E32" s="1">
        <v>2.56708414177585E-3</v>
      </c>
      <c r="F32" s="1">
        <v>2.5663199366582601E-3</v>
      </c>
      <c r="G32" s="1">
        <v>2.5658012194366502E-3</v>
      </c>
      <c r="H32" s="1">
        <v>2.5654491030805901E-3</v>
      </c>
      <c r="I32" s="1">
        <v>2.5652100659526501E-3</v>
      </c>
      <c r="J32" s="1">
        <v>2.5650477876078201E-3</v>
      </c>
      <c r="K32" s="1">
        <v>2.5649376167655299E-3</v>
      </c>
      <c r="L32" s="1">
        <v>2.56486282045677E-3</v>
      </c>
      <c r="M32" s="1">
        <v>2.5648120397568199E-3</v>
      </c>
      <c r="N32" s="1">
        <v>2.5647775634601699E-3</v>
      </c>
      <c r="O32" s="1">
        <v>2.5647541565089801E-3</v>
      </c>
      <c r="P32" s="1">
        <v>2.5647382647978698E-3</v>
      </c>
      <c r="Q32" s="1">
        <v>2.56472747539175E-3</v>
      </c>
      <c r="R32" s="1">
        <v>2.5647201500963298E-3</v>
      </c>
      <c r="S32" s="1">
        <v>2.5647151766980598E-3</v>
      </c>
      <c r="T32" s="1">
        <v>2.5647118000821098E-3</v>
      </c>
      <c r="U32" s="1">
        <v>2.5647095075769402E-3</v>
      </c>
      <c r="V32" s="1">
        <v>2.56470795111275E-3</v>
      </c>
      <c r="W32" s="1">
        <v>2.5647068943729901E-3</v>
      </c>
      <c r="X32" s="1">
        <v>2.5647061769140801E-3</v>
      </c>
      <c r="Y32" s="1">
        <v>2.56470568980518E-3</v>
      </c>
      <c r="Z32" s="1">
        <v>2.5647053590892401E-3</v>
      </c>
      <c r="AA32" s="1">
        <v>2.56470513455415E-3</v>
      </c>
      <c r="AB32" s="1">
        <v>2.5647049821090999E-3</v>
      </c>
      <c r="AC32" s="1">
        <v>2.56470487860861E-3</v>
      </c>
      <c r="AD32" s="1">
        <v>2.5647048083383499E-3</v>
      </c>
      <c r="AE32" s="1">
        <v>2.5647047606293001E-3</v>
      </c>
      <c r="AF32" s="1">
        <v>2.5647047282378998E-3</v>
      </c>
      <c r="AG32" s="1">
        <v>2.5647047062461901E-3</v>
      </c>
      <c r="AH32" s="1">
        <v>2.56470469131522E-3</v>
      </c>
    </row>
    <row r="33" spans="1:34" x14ac:dyDescent="0.25">
      <c r="A33" s="2">
        <v>31</v>
      </c>
      <c r="B33" s="1">
        <v>2.52716061566514E-3</v>
      </c>
      <c r="C33" s="1">
        <v>2.5239169772165002E-3</v>
      </c>
      <c r="D33" s="1">
        <v>2.52171712294699E-3</v>
      </c>
      <c r="E33" s="1">
        <v>2.52022465320183E-3</v>
      </c>
      <c r="F33" s="1">
        <v>2.5192118639058201E-3</v>
      </c>
      <c r="G33" s="1">
        <v>2.5185244760088398E-3</v>
      </c>
      <c r="H33" s="1">
        <v>2.5180578900668299E-3</v>
      </c>
      <c r="I33" s="1">
        <v>2.5177411570618301E-3</v>
      </c>
      <c r="J33" s="1">
        <v>2.5175261381533698E-3</v>
      </c>
      <c r="K33" s="1">
        <v>2.51738016442847E-3</v>
      </c>
      <c r="L33" s="1">
        <v>2.5172810623616199E-3</v>
      </c>
      <c r="M33" s="1">
        <v>2.5172137805754202E-3</v>
      </c>
      <c r="N33" s="1">
        <v>2.5171681015409698E-3</v>
      </c>
      <c r="O33" s="1">
        <v>2.51713708885062E-3</v>
      </c>
      <c r="P33" s="1">
        <v>2.51711603342175E-3</v>
      </c>
      <c r="Q33" s="1">
        <v>2.5171017382235599E-3</v>
      </c>
      <c r="R33" s="1">
        <v>2.5170920327384399E-3</v>
      </c>
      <c r="S33" s="1">
        <v>2.5170854433519802E-3</v>
      </c>
      <c r="T33" s="1">
        <v>2.5170809695870401E-3</v>
      </c>
      <c r="U33" s="1">
        <v>2.5170779321894202E-3</v>
      </c>
      <c r="V33" s="1">
        <v>2.5170758699915E-3</v>
      </c>
      <c r="W33" s="1">
        <v>2.5170744698910898E-3</v>
      </c>
      <c r="X33" s="1">
        <v>2.51707351931232E-3</v>
      </c>
      <c r="Y33" s="1">
        <v>2.5170728739299301E-3</v>
      </c>
      <c r="Z33" s="1">
        <v>2.5170724357563802E-3</v>
      </c>
      <c r="AA33" s="1">
        <v>2.5170721382644298E-3</v>
      </c>
      <c r="AB33" s="1">
        <v>2.5170719362863098E-3</v>
      </c>
      <c r="AC33" s="1">
        <v>2.5170717991560101E-3</v>
      </c>
      <c r="AD33" s="1">
        <v>2.5170717060532602E-3</v>
      </c>
      <c r="AE33" s="1">
        <v>2.5170716428424E-3</v>
      </c>
      <c r="AF33" s="1">
        <v>2.5170715999262498E-3</v>
      </c>
      <c r="AG33" s="1">
        <v>2.5170715707889101E-3</v>
      </c>
      <c r="AH33" s="1">
        <v>2.51707155100651E-3</v>
      </c>
    </row>
    <row r="34" spans="1:34" x14ac:dyDescent="0.25">
      <c r="A34" s="2">
        <v>32</v>
      </c>
      <c r="B34" s="1">
        <v>2.4925874518566698E-3</v>
      </c>
      <c r="C34" s="1">
        <v>2.4886039872169998E-3</v>
      </c>
      <c r="D34" s="1">
        <v>2.4859030922340301E-3</v>
      </c>
      <c r="E34" s="1">
        <v>2.4840710249363E-3</v>
      </c>
      <c r="F34" s="1">
        <v>2.4828279362865799E-3</v>
      </c>
      <c r="G34" s="1">
        <v>2.4819843121979099E-3</v>
      </c>
      <c r="H34" s="1">
        <v>2.4814117082187499E-3</v>
      </c>
      <c r="I34" s="1">
        <v>2.4810230216964499E-3</v>
      </c>
      <c r="J34" s="1">
        <v>2.4807591629006898E-3</v>
      </c>
      <c r="K34" s="1">
        <v>2.48058003551646E-3</v>
      </c>
      <c r="L34" s="1">
        <v>2.4804584267660501E-3</v>
      </c>
      <c r="M34" s="1">
        <v>2.4803758655445999E-3</v>
      </c>
      <c r="N34" s="1">
        <v>2.48031981328501E-3</v>
      </c>
      <c r="O34" s="1">
        <v>2.4802817580830598E-3</v>
      </c>
      <c r="P34" s="1">
        <v>2.4802559213511202E-3</v>
      </c>
      <c r="Q34" s="1">
        <v>2.4802383800048701E-3</v>
      </c>
      <c r="R34" s="1">
        <v>2.4802264706158699E-3</v>
      </c>
      <c r="S34" s="1">
        <v>2.4802183849299501E-3</v>
      </c>
      <c r="T34" s="1">
        <v>2.4802128952779402E-3</v>
      </c>
      <c r="U34" s="1">
        <v>2.4802091681599202E-3</v>
      </c>
      <c r="V34" s="1">
        <v>2.4802066376867801E-3</v>
      </c>
      <c r="W34" s="1">
        <v>2.4802049196577499E-3</v>
      </c>
      <c r="X34" s="1">
        <v>2.4802037532258799E-3</v>
      </c>
      <c r="Y34" s="1">
        <v>2.4802029612930598E-3</v>
      </c>
      <c r="Z34" s="1">
        <v>2.4802024236211299E-3</v>
      </c>
      <c r="AA34" s="1">
        <v>2.48020205857612E-3</v>
      </c>
      <c r="AB34" s="1">
        <v>2.48020181073378E-3</v>
      </c>
      <c r="AC34" s="1">
        <v>2.4802016424645898E-3</v>
      </c>
      <c r="AD34" s="1">
        <v>2.4802015282205099E-3</v>
      </c>
      <c r="AE34" s="1">
        <v>2.4802014506560398E-3</v>
      </c>
      <c r="AF34" s="1">
        <v>2.4802013979947002E-3</v>
      </c>
      <c r="AG34" s="1">
        <v>2.4802013622409898E-3</v>
      </c>
      <c r="AH34" s="1">
        <v>2.4802013379664999E-3</v>
      </c>
    </row>
    <row r="35" spans="1:34" x14ac:dyDescent="0.25">
      <c r="A35" s="2">
        <v>33</v>
      </c>
      <c r="B35" s="1">
        <v>2.4825224062200802E-3</v>
      </c>
      <c r="C35" s="1">
        <v>2.4783036618797002E-3</v>
      </c>
      <c r="D35" s="1">
        <v>2.4754434842659402E-3</v>
      </c>
      <c r="E35" s="1">
        <v>2.4735034846188101E-3</v>
      </c>
      <c r="F35" s="1">
        <v>2.472187213646E-3</v>
      </c>
      <c r="G35" s="1">
        <v>2.4712939480323699E-3</v>
      </c>
      <c r="H35" s="1">
        <v>2.4706876611693498E-3</v>
      </c>
      <c r="I35" s="1">
        <v>2.4702761155815001E-3</v>
      </c>
      <c r="J35" s="1">
        <v>2.4699967412978802E-3</v>
      </c>
      <c r="K35" s="1">
        <v>2.4698070818950099E-3</v>
      </c>
      <c r="L35" s="1">
        <v>2.4696783235003601E-3</v>
      </c>
      <c r="M35" s="1">
        <v>2.4695909085521001E-3</v>
      </c>
      <c r="N35" s="1">
        <v>2.4695315611174E-3</v>
      </c>
      <c r="O35" s="1">
        <v>2.4694912687917101E-3</v>
      </c>
      <c r="P35" s="1">
        <v>2.46946391323674E-3</v>
      </c>
      <c r="Q35" s="1">
        <v>2.4694453407254398E-3</v>
      </c>
      <c r="R35" s="1">
        <v>2.46943273124978E-3</v>
      </c>
      <c r="S35" s="1">
        <v>2.4694241702535999E-3</v>
      </c>
      <c r="T35" s="1">
        <v>2.469418357898E-3</v>
      </c>
      <c r="U35" s="1">
        <v>2.4694144116856301E-3</v>
      </c>
      <c r="V35" s="1">
        <v>2.46941173246174E-3</v>
      </c>
      <c r="W35" s="1">
        <v>2.4694099134405902E-3</v>
      </c>
      <c r="X35" s="1">
        <v>2.46940867844157E-3</v>
      </c>
      <c r="Y35" s="1">
        <v>2.4694078399560499E-3</v>
      </c>
      <c r="Z35" s="1">
        <v>2.4694072706778199E-3</v>
      </c>
      <c r="AA35" s="1">
        <v>2.4694068841741401E-3</v>
      </c>
      <c r="AB35" s="1">
        <v>2.4694066217627402E-3</v>
      </c>
      <c r="AC35" s="1">
        <v>2.4694064436020799E-3</v>
      </c>
      <c r="AD35" s="1">
        <v>2.4694063226423199E-3</v>
      </c>
      <c r="AE35" s="1">
        <v>2.46940624051833E-3</v>
      </c>
      <c r="AF35" s="1">
        <v>2.4694061847613702E-3</v>
      </c>
      <c r="AG35" s="1">
        <v>2.4694061469059301E-3</v>
      </c>
      <c r="AH35" s="1">
        <v>2.46940612120449E-3</v>
      </c>
    </row>
    <row r="36" spans="1:34" x14ac:dyDescent="0.25">
      <c r="A36" s="2">
        <v>34</v>
      </c>
      <c r="B36" s="1">
        <v>2.4983870154642001E-3</v>
      </c>
      <c r="C36" s="1">
        <v>2.4944448580917801E-3</v>
      </c>
      <c r="D36" s="1">
        <v>2.4917719250824302E-3</v>
      </c>
      <c r="E36" s="1">
        <v>2.48995880397921E-3</v>
      </c>
      <c r="F36" s="1">
        <v>2.48872856100014E-3</v>
      </c>
      <c r="G36" s="1">
        <v>2.4878936502032698E-3</v>
      </c>
      <c r="H36" s="1">
        <v>2.48732695826283E-3</v>
      </c>
      <c r="I36" s="1">
        <v>2.48694228391919E-3</v>
      </c>
      <c r="J36" s="1">
        <v>2.48668114834519E-3</v>
      </c>
      <c r="K36" s="1">
        <v>2.4865038694902E-3</v>
      </c>
      <c r="L36" s="1">
        <v>2.4863835156053301E-3</v>
      </c>
      <c r="M36" s="1">
        <v>2.4863018062802299E-3</v>
      </c>
      <c r="N36" s="1">
        <v>2.4862463323683799E-3</v>
      </c>
      <c r="O36" s="1">
        <v>2.4862086698113099E-3</v>
      </c>
      <c r="P36" s="1">
        <v>2.4861830996527E-3</v>
      </c>
      <c r="Q36" s="1">
        <v>2.4861657392893002E-3</v>
      </c>
      <c r="R36" s="1">
        <v>2.4861539527745399E-3</v>
      </c>
      <c r="S36" s="1">
        <v>2.4861459505116801E-3</v>
      </c>
      <c r="T36" s="1">
        <v>2.4861405174982799E-3</v>
      </c>
      <c r="U36" s="1">
        <v>2.4861368288341202E-3</v>
      </c>
      <c r="V36" s="1">
        <v>2.48613432446863E-3</v>
      </c>
      <c r="W36" s="1">
        <v>2.4861326241650199E-3</v>
      </c>
      <c r="X36" s="1">
        <v>2.4861314697675499E-3</v>
      </c>
      <c r="Y36" s="1">
        <v>2.4861306860053198E-3</v>
      </c>
      <c r="Z36" s="1">
        <v>2.4861301538807098E-3</v>
      </c>
      <c r="AA36" s="1">
        <v>2.4861297926019699E-3</v>
      </c>
      <c r="AB36" s="1">
        <v>2.4861295473166799E-3</v>
      </c>
      <c r="AC36" s="1">
        <v>2.4861293807835702E-3</v>
      </c>
      <c r="AD36" s="1">
        <v>2.4861292677181802E-3</v>
      </c>
      <c r="AE36" s="1">
        <v>2.4861291909539702E-3</v>
      </c>
      <c r="AF36" s="1">
        <v>2.4861291388359398E-3</v>
      </c>
      <c r="AG36" s="1">
        <v>2.4861291034511102E-3</v>
      </c>
      <c r="AH36" s="1">
        <v>2.4861290794270701E-3</v>
      </c>
    </row>
    <row r="37" spans="1:34" x14ac:dyDescent="0.25">
      <c r="A37" s="2">
        <v>35</v>
      </c>
      <c r="B37" s="1">
        <v>2.5005797432651401E-3</v>
      </c>
      <c r="C37" s="1">
        <v>2.4963524180363901E-3</v>
      </c>
      <c r="D37" s="1">
        <v>2.4934864015298498E-3</v>
      </c>
      <c r="E37" s="1">
        <v>2.4915424316653799E-3</v>
      </c>
      <c r="F37" s="1">
        <v>2.4902234624166399E-3</v>
      </c>
      <c r="G37" s="1">
        <v>2.4893283635790699E-3</v>
      </c>
      <c r="H37" s="1">
        <v>2.4887208314904601E-3</v>
      </c>
      <c r="I37" s="1">
        <v>2.4883084402049999E-3</v>
      </c>
      <c r="J37" s="1">
        <v>2.4880284916226898E-3</v>
      </c>
      <c r="K37" s="1">
        <v>2.4878384422504802E-3</v>
      </c>
      <c r="L37" s="1">
        <v>2.48770941906516E-3</v>
      </c>
      <c r="M37" s="1">
        <v>2.48762182432874E-3</v>
      </c>
      <c r="N37" s="1">
        <v>2.4875623548237199E-3</v>
      </c>
      <c r="O37" s="1">
        <v>2.48752197961746E-3</v>
      </c>
      <c r="P37" s="1">
        <v>2.4874945677906702E-3</v>
      </c>
      <c r="Q37" s="1">
        <v>2.4874759570738302E-3</v>
      </c>
      <c r="R37" s="1">
        <v>2.48746332165878E-3</v>
      </c>
      <c r="S37" s="1">
        <v>2.4874547430512898E-3</v>
      </c>
      <c r="T37" s="1">
        <v>2.4874489187386799E-3</v>
      </c>
      <c r="U37" s="1">
        <v>2.48744496440823E-3</v>
      </c>
      <c r="V37" s="1">
        <v>2.4874422796726699E-3</v>
      </c>
      <c r="W37" s="1">
        <v>2.48744045690944E-3</v>
      </c>
      <c r="X37" s="1">
        <v>2.4874392193697898E-3</v>
      </c>
      <c r="Y37" s="1">
        <v>2.48743837915933E-3</v>
      </c>
      <c r="Z37" s="1">
        <v>2.48743780870998E-3</v>
      </c>
      <c r="AA37" s="1">
        <v>2.4874374214111901E-3</v>
      </c>
      <c r="AB37" s="1">
        <v>2.4874371584599499E-3</v>
      </c>
      <c r="AC37" s="1">
        <v>2.4874369799327799E-3</v>
      </c>
      <c r="AD37" s="1">
        <v>2.4874368587241799E-3</v>
      </c>
      <c r="AE37" s="1">
        <v>2.48743677643125E-3</v>
      </c>
      <c r="AF37" s="1">
        <v>2.4874367205595799E-3</v>
      </c>
      <c r="AG37" s="1">
        <v>2.4874366826262602E-3</v>
      </c>
      <c r="AH37" s="1">
        <v>2.48743665687195E-3</v>
      </c>
    </row>
    <row r="38" spans="1:34" x14ac:dyDescent="0.25">
      <c r="A38" s="2">
        <v>36</v>
      </c>
      <c r="B38" s="1">
        <v>2.5130778836655598E-3</v>
      </c>
      <c r="C38" s="1">
        <v>2.5082574328564701E-3</v>
      </c>
      <c r="D38" s="1">
        <v>2.5049899173999299E-3</v>
      </c>
      <c r="E38" s="1">
        <v>2.5027739053361101E-3</v>
      </c>
      <c r="F38" s="1">
        <v>2.5012704899497599E-3</v>
      </c>
      <c r="G38" s="1">
        <v>2.5002502805287099E-3</v>
      </c>
      <c r="H38" s="1">
        <v>2.4995578600295102E-3</v>
      </c>
      <c r="I38" s="1">
        <v>2.4990878596620998E-3</v>
      </c>
      <c r="J38" s="1">
        <v>2.4987688095813401E-3</v>
      </c>
      <c r="K38" s="1">
        <v>2.4985522180335702E-3</v>
      </c>
      <c r="L38" s="1">
        <v>2.4984051768205898E-3</v>
      </c>
      <c r="M38" s="1">
        <v>2.4983053501050601E-3</v>
      </c>
      <c r="N38" s="1">
        <v>2.49823757637817E-3</v>
      </c>
      <c r="O38" s="1">
        <v>2.4981915633701698E-3</v>
      </c>
      <c r="P38" s="1">
        <v>2.49816032394357E-3</v>
      </c>
      <c r="Q38" s="1">
        <v>2.4981391145800602E-3</v>
      </c>
      <c r="R38" s="1">
        <v>2.4981247148722699E-3</v>
      </c>
      <c r="S38" s="1">
        <v>2.4981149384328098E-3</v>
      </c>
      <c r="T38" s="1">
        <v>2.4981083008733399E-3</v>
      </c>
      <c r="U38" s="1">
        <v>2.49810379440221E-3</v>
      </c>
      <c r="V38" s="1">
        <v>2.4981007347992601E-3</v>
      </c>
      <c r="W38" s="1">
        <v>2.4980986575253799E-3</v>
      </c>
      <c r="X38" s="1">
        <v>2.49809724718938E-3</v>
      </c>
      <c r="Y38" s="1">
        <v>2.4980962896612902E-3</v>
      </c>
      <c r="Z38" s="1">
        <v>2.4980956395607599E-3</v>
      </c>
      <c r="AA38" s="1">
        <v>2.4980951981839099E-3</v>
      </c>
      <c r="AB38" s="1">
        <v>2.4980948985171099E-3</v>
      </c>
      <c r="AC38" s="1">
        <v>2.4980946950624102E-3</v>
      </c>
      <c r="AD38" s="1">
        <v>2.4980945569296098E-3</v>
      </c>
      <c r="AE38" s="1">
        <v>2.4980944631462099E-3</v>
      </c>
      <c r="AF38" s="1">
        <v>2.4980943994732498E-3</v>
      </c>
      <c r="AG38" s="1">
        <v>2.4980943562433601E-3</v>
      </c>
      <c r="AH38" s="1">
        <v>2.4980943268930098E-3</v>
      </c>
    </row>
    <row r="39" spans="1:34" x14ac:dyDescent="0.25">
      <c r="A39" s="2">
        <v>37</v>
      </c>
      <c r="B39" s="1">
        <v>2.53611653985015E-3</v>
      </c>
      <c r="C39" s="1">
        <v>2.5308523141832598E-3</v>
      </c>
      <c r="D39" s="1">
        <v>2.5272844606983001E-3</v>
      </c>
      <c r="E39" s="1">
        <v>2.52486497836229E-3</v>
      </c>
      <c r="F39" s="1">
        <v>2.5232236221974201E-3</v>
      </c>
      <c r="G39" s="1">
        <v>2.5221098530551801E-3</v>
      </c>
      <c r="H39" s="1">
        <v>2.5213539544300298E-3</v>
      </c>
      <c r="I39" s="1">
        <v>2.5208408762513999E-3</v>
      </c>
      <c r="J39" s="1">
        <v>2.5204925881993799E-3</v>
      </c>
      <c r="K39" s="1">
        <v>2.5202561501323998E-3</v>
      </c>
      <c r="L39" s="1">
        <v>2.5200956363321601E-3</v>
      </c>
      <c r="M39" s="1">
        <v>2.5199866634792499E-3</v>
      </c>
      <c r="N39" s="1">
        <v>2.5199126805179801E-3</v>
      </c>
      <c r="O39" s="1">
        <v>2.5198624520241398E-3</v>
      </c>
      <c r="P39" s="1">
        <v>2.51982835063797E-3</v>
      </c>
      <c r="Q39" s="1">
        <v>2.51980519822608E-3</v>
      </c>
      <c r="R39" s="1">
        <v>2.51978947933048E-3</v>
      </c>
      <c r="S39" s="1">
        <v>2.51977880725488E-3</v>
      </c>
      <c r="T39" s="1">
        <v>2.5197715616193201E-3</v>
      </c>
      <c r="U39" s="1">
        <v>2.5197666423049901E-3</v>
      </c>
      <c r="V39" s="1">
        <v>2.5197633024085699E-3</v>
      </c>
      <c r="W39" s="1">
        <v>2.5197610348336201E-3</v>
      </c>
      <c r="X39" s="1">
        <v>2.5197594952954599E-3</v>
      </c>
      <c r="Y39" s="1">
        <v>2.5197584500473999E-3</v>
      </c>
      <c r="Z39" s="1">
        <v>2.51975774039062E-3</v>
      </c>
      <c r="AA39" s="1">
        <v>2.5197572585788702E-3</v>
      </c>
      <c r="AB39" s="1">
        <v>2.5197569314593499E-3</v>
      </c>
      <c r="AC39" s="1">
        <v>2.5197567093660101E-3</v>
      </c>
      <c r="AD39" s="1">
        <v>2.5197565585787498E-3</v>
      </c>
      <c r="AE39" s="1">
        <v>2.5197564562037902E-3</v>
      </c>
      <c r="AF39" s="1">
        <v>2.5197563866977001E-3</v>
      </c>
      <c r="AG39" s="1">
        <v>2.51975633950748E-3</v>
      </c>
      <c r="AH39" s="1">
        <v>2.5197563074683201E-3</v>
      </c>
    </row>
    <row r="40" spans="1:34" x14ac:dyDescent="0.25">
      <c r="A40" s="2">
        <v>38</v>
      </c>
      <c r="B40" s="1">
        <v>2.57233866825293E-3</v>
      </c>
      <c r="C40" s="1">
        <v>2.5663941730094601E-3</v>
      </c>
      <c r="D40" s="1">
        <v>2.5623660598336801E-3</v>
      </c>
      <c r="E40" s="1">
        <v>2.5596348263068201E-3</v>
      </c>
      <c r="F40" s="1">
        <v>2.5577821495771499E-3</v>
      </c>
      <c r="G40" s="1">
        <v>2.55652506315171E-3</v>
      </c>
      <c r="H40" s="1">
        <v>2.55567193303302E-3</v>
      </c>
      <c r="I40" s="1">
        <v>2.55509287394492E-3</v>
      </c>
      <c r="J40" s="1">
        <v>2.55469980429864E-3</v>
      </c>
      <c r="K40" s="1">
        <v>2.5544329694028602E-3</v>
      </c>
      <c r="L40" s="1">
        <v>2.55425182132645E-3</v>
      </c>
      <c r="M40" s="1">
        <v>2.55412884060405E-3</v>
      </c>
      <c r="N40" s="1">
        <v>2.5540453478775601E-3</v>
      </c>
      <c r="O40" s="1">
        <v>2.5539886631745301E-3</v>
      </c>
      <c r="P40" s="1">
        <v>2.5539501785787301E-3</v>
      </c>
      <c r="Q40" s="1">
        <v>2.5539240503133801E-3</v>
      </c>
      <c r="R40" s="1">
        <v>2.5539063110334198E-3</v>
      </c>
      <c r="S40" s="1">
        <v>2.5538942672595098E-3</v>
      </c>
      <c r="T40" s="1">
        <v>2.5538860903345601E-3</v>
      </c>
      <c r="U40" s="1">
        <v>2.5538805387369402E-3</v>
      </c>
      <c r="V40" s="1">
        <v>2.5538767695617399E-3</v>
      </c>
      <c r="W40" s="1">
        <v>2.55387421053442E-3</v>
      </c>
      <c r="X40" s="1">
        <v>2.5538724731189199E-3</v>
      </c>
      <c r="Y40" s="1">
        <v>2.5538712935248499E-3</v>
      </c>
      <c r="Z40" s="1">
        <v>2.5538704926557402E-3</v>
      </c>
      <c r="AA40" s="1">
        <v>2.55386994891663E-3</v>
      </c>
      <c r="AB40" s="1">
        <v>2.55386957975239E-3</v>
      </c>
      <c r="AC40" s="1">
        <v>2.5538693291133601E-3</v>
      </c>
      <c r="AD40" s="1">
        <v>2.5538691589453901E-3</v>
      </c>
      <c r="AE40" s="1">
        <v>2.55386904341216E-3</v>
      </c>
      <c r="AF40" s="1">
        <v>2.55386896497244E-3</v>
      </c>
      <c r="AG40" s="1">
        <v>2.5538689117168599E-3</v>
      </c>
      <c r="AH40" s="1">
        <v>2.5538688755597002E-3</v>
      </c>
    </row>
    <row r="41" spans="1:34" x14ac:dyDescent="0.25">
      <c r="A41" s="2">
        <v>39</v>
      </c>
      <c r="B41" s="1">
        <v>2.6011268165119501E-3</v>
      </c>
      <c r="C41" s="1">
        <v>2.5945538262422199E-3</v>
      </c>
      <c r="D41" s="1">
        <v>2.5901006404284999E-3</v>
      </c>
      <c r="E41" s="1">
        <v>2.5870815615955398E-3</v>
      </c>
      <c r="F41" s="1">
        <v>2.58503380223697E-3</v>
      </c>
      <c r="G41" s="1">
        <v>2.5836444264261999E-3</v>
      </c>
      <c r="H41" s="1">
        <v>2.5827015536032802E-3</v>
      </c>
      <c r="I41" s="1">
        <v>2.58206159872901E-3</v>
      </c>
      <c r="J41" s="1">
        <v>2.5816272002912801E-3</v>
      </c>
      <c r="K41" s="1">
        <v>2.58133231295107E-3</v>
      </c>
      <c r="L41" s="1">
        <v>2.5811321223558801E-3</v>
      </c>
      <c r="M41" s="1">
        <v>2.5809962144980902E-3</v>
      </c>
      <c r="N41" s="1">
        <v>2.5809039457708699E-3</v>
      </c>
      <c r="O41" s="1">
        <v>2.5808413030449198E-3</v>
      </c>
      <c r="P41" s="1">
        <v>2.5807987734794398E-3</v>
      </c>
      <c r="Q41" s="1">
        <v>2.5807698990054999E-3</v>
      </c>
      <c r="R41" s="1">
        <v>2.5807502952561101E-3</v>
      </c>
      <c r="S41" s="1">
        <v>2.5807369856405602E-3</v>
      </c>
      <c r="T41" s="1">
        <v>2.5807279492962901E-3</v>
      </c>
      <c r="U41" s="1">
        <v>2.58072181421067E-3</v>
      </c>
      <c r="V41" s="1">
        <v>2.5807176488856199E-3</v>
      </c>
      <c r="W41" s="1">
        <v>2.5807148208983801E-3</v>
      </c>
      <c r="X41" s="1">
        <v>2.5807129008764899E-3</v>
      </c>
      <c r="Y41" s="1">
        <v>2.5807115973044202E-3</v>
      </c>
      <c r="Z41" s="1">
        <v>2.5807107122621802E-3</v>
      </c>
      <c r="AA41" s="1">
        <v>2.5807101113749101E-3</v>
      </c>
      <c r="AB41" s="1">
        <v>2.5807097034107099E-3</v>
      </c>
      <c r="AC41" s="1">
        <v>2.5807094264289699E-3</v>
      </c>
      <c r="AD41" s="1">
        <v>2.58070923837598E-3</v>
      </c>
      <c r="AE41" s="1">
        <v>2.5807091106999601E-3</v>
      </c>
      <c r="AF41" s="1">
        <v>2.58070902401606E-3</v>
      </c>
      <c r="AG41" s="1">
        <v>2.5807089651631999E-3</v>
      </c>
      <c r="AH41" s="1">
        <v>2.58070892520585E-3</v>
      </c>
    </row>
    <row r="42" spans="1:34" x14ac:dyDescent="0.25">
      <c r="A42" s="2">
        <v>40</v>
      </c>
      <c r="B42" s="1">
        <v>2.6757326007273499E-3</v>
      </c>
      <c r="C42" s="1">
        <v>2.6686505222554401E-3</v>
      </c>
      <c r="D42" s="1">
        <v>2.6638529131724699E-3</v>
      </c>
      <c r="E42" s="1">
        <v>2.6606005515849998E-3</v>
      </c>
      <c r="F42" s="1">
        <v>2.6583946651769701E-3</v>
      </c>
      <c r="G42" s="1">
        <v>2.6568980495274802E-3</v>
      </c>
      <c r="H42" s="1">
        <v>2.6558824221924902E-3</v>
      </c>
      <c r="I42" s="1">
        <v>2.6551930967468901E-3</v>
      </c>
      <c r="J42" s="1">
        <v>2.6547251904028698E-3</v>
      </c>
      <c r="K42" s="1">
        <v>2.6544075586573701E-3</v>
      </c>
      <c r="L42" s="1">
        <v>2.65419192851446E-3</v>
      </c>
      <c r="M42" s="1">
        <v>2.6540455393177799E-3</v>
      </c>
      <c r="N42" s="1">
        <v>2.6539461549496398E-3</v>
      </c>
      <c r="O42" s="1">
        <v>2.6538786813963301E-3</v>
      </c>
      <c r="P42" s="1">
        <v>2.6538328721169399E-3</v>
      </c>
      <c r="Q42" s="1">
        <v>2.6538017709767901E-3</v>
      </c>
      <c r="R42" s="1">
        <v>2.65378065548609E-3</v>
      </c>
      <c r="S42" s="1">
        <v>2.6537663195051E-3</v>
      </c>
      <c r="T42" s="1">
        <v>2.65375658632892E-3</v>
      </c>
      <c r="U42" s="1">
        <v>2.65374997814101E-3</v>
      </c>
      <c r="V42" s="1">
        <v>2.6537454916106301E-3</v>
      </c>
      <c r="W42" s="1">
        <v>2.6537424455458699E-3</v>
      </c>
      <c r="X42" s="1">
        <v>2.6537403774634198E-3</v>
      </c>
      <c r="Y42" s="1">
        <v>2.6537389733677498E-3</v>
      </c>
      <c r="Z42" s="1">
        <v>2.6537380200764198E-3</v>
      </c>
      <c r="AA42" s="1">
        <v>2.6537373728523698E-3</v>
      </c>
      <c r="AB42" s="1">
        <v>2.6537369334284498E-3</v>
      </c>
      <c r="AC42" s="1">
        <v>2.6537366350875701E-3</v>
      </c>
      <c r="AD42" s="1">
        <v>2.65373643253308E-3</v>
      </c>
      <c r="AE42" s="1">
        <v>2.65373629501147E-3</v>
      </c>
      <c r="AF42" s="1">
        <v>2.6537362016430298E-3</v>
      </c>
      <c r="AG42" s="1">
        <v>2.6537361382518001E-3</v>
      </c>
      <c r="AH42" s="1">
        <v>2.6537360952131801E-3</v>
      </c>
    </row>
    <row r="43" spans="1:34" x14ac:dyDescent="0.25">
      <c r="A43" s="2">
        <v>41</v>
      </c>
      <c r="B43" s="1">
        <v>2.8123954423597401E-3</v>
      </c>
      <c r="C43" s="1">
        <v>2.8055509373037298E-3</v>
      </c>
      <c r="D43" s="1">
        <v>2.8009134362135899E-3</v>
      </c>
      <c r="E43" s="1">
        <v>2.7977692312799798E-3</v>
      </c>
      <c r="F43" s="1">
        <v>2.7956365249854698E-3</v>
      </c>
      <c r="G43" s="1">
        <v>2.7941894782729502E-3</v>
      </c>
      <c r="H43" s="1">
        <v>2.7932074518111599E-3</v>
      </c>
      <c r="I43" s="1">
        <v>2.7925409146775599E-3</v>
      </c>
      <c r="J43" s="1">
        <v>2.7920884688399602E-3</v>
      </c>
      <c r="K43" s="1">
        <v>2.7917813285844202E-3</v>
      </c>
      <c r="L43" s="1">
        <v>2.7915728190947898E-3</v>
      </c>
      <c r="M43" s="1">
        <v>2.7914312632623E-3</v>
      </c>
      <c r="N43" s="1">
        <v>2.7913351599311502E-3</v>
      </c>
      <c r="O43" s="1">
        <v>2.7912699137583102E-3</v>
      </c>
      <c r="P43" s="1">
        <v>2.7912256166203598E-3</v>
      </c>
      <c r="Q43" s="1">
        <v>2.7911955420781998E-3</v>
      </c>
      <c r="R43" s="1">
        <v>2.7911751235592799E-3</v>
      </c>
      <c r="S43" s="1">
        <v>2.7911612607672302E-3</v>
      </c>
      <c r="T43" s="1">
        <v>2.7911518488513802E-3</v>
      </c>
      <c r="U43" s="1">
        <v>2.7911454587765702E-3</v>
      </c>
      <c r="V43" s="1">
        <v>2.7911411203300901E-3</v>
      </c>
      <c r="W43" s="1">
        <v>2.79113817480441E-3</v>
      </c>
      <c r="X43" s="1">
        <v>2.7911361749813801E-3</v>
      </c>
      <c r="Y43" s="1">
        <v>2.7911348172294302E-3</v>
      </c>
      <c r="Z43" s="1">
        <v>2.7911338954024899E-3</v>
      </c>
      <c r="AA43" s="1">
        <v>2.7911332695407299E-3</v>
      </c>
      <c r="AB43" s="1">
        <v>2.79113284462045E-3</v>
      </c>
      <c r="AC43" s="1">
        <v>2.79113255612661E-3</v>
      </c>
      <c r="AD43" s="1">
        <v>2.7911323602576401E-3</v>
      </c>
      <c r="AE43" s="1">
        <v>2.7911322272750599E-3</v>
      </c>
      <c r="AF43" s="1">
        <v>2.7911321369883399E-3</v>
      </c>
      <c r="AG43" s="1">
        <v>2.7911320756894E-3</v>
      </c>
      <c r="AH43" s="1">
        <v>2.79113203407131E-3</v>
      </c>
    </row>
    <row r="44" spans="1:34" x14ac:dyDescent="0.25">
      <c r="A44" s="2">
        <v>42</v>
      </c>
      <c r="B44" s="1">
        <v>2.9897714000759398E-3</v>
      </c>
      <c r="C44" s="1">
        <v>2.9834364267473999E-3</v>
      </c>
      <c r="D44" s="1">
        <v>2.97914302308349E-3</v>
      </c>
      <c r="E44" s="1">
        <v>2.9762315915074699E-3</v>
      </c>
      <c r="F44" s="1">
        <v>2.9742565338413299E-3</v>
      </c>
      <c r="G44" s="1">
        <v>2.9729163411213099E-3</v>
      </c>
      <c r="H44" s="1">
        <v>2.9720067791005399E-3</v>
      </c>
      <c r="I44" s="1">
        <v>2.9713894026508099E-3</v>
      </c>
      <c r="J44" s="1">
        <v>2.9709703162534699E-3</v>
      </c>
      <c r="K44" s="1">
        <v>2.9706858168550301E-3</v>
      </c>
      <c r="L44" s="1">
        <v>2.9704926753434998E-3</v>
      </c>
      <c r="M44" s="1">
        <v>2.9703615516747102E-3</v>
      </c>
      <c r="N44" s="1">
        <v>2.9702725303284998E-3</v>
      </c>
      <c r="O44" s="1">
        <v>2.97021209200869E-3</v>
      </c>
      <c r="P44" s="1">
        <v>2.9701710589293399E-3</v>
      </c>
      <c r="Q44" s="1">
        <v>2.9701432003980898E-3</v>
      </c>
      <c r="R44" s="1">
        <v>2.9701242863740601E-3</v>
      </c>
      <c r="S44" s="1">
        <v>2.9701114450219799E-3</v>
      </c>
      <c r="T44" s="1">
        <v>2.97010272659139E-3</v>
      </c>
      <c r="U44" s="1">
        <v>2.9700968073455001E-3</v>
      </c>
      <c r="V44" s="1">
        <v>2.97009278856034E-3</v>
      </c>
      <c r="W44" s="1">
        <v>2.9700900600636401E-3</v>
      </c>
      <c r="X44" s="1">
        <v>2.9700882075891599E-3</v>
      </c>
      <c r="Y44" s="1">
        <v>2.9700869498773398E-3</v>
      </c>
      <c r="Z44" s="1">
        <v>2.9700860959712299E-3</v>
      </c>
      <c r="AA44" s="1">
        <v>2.97008551622337E-3</v>
      </c>
      <c r="AB44" s="1">
        <v>2.9700851226114699E-3</v>
      </c>
      <c r="AC44" s="1">
        <v>2.9700848553740299E-3</v>
      </c>
      <c r="AD44" s="1">
        <v>2.9700846739368E-3</v>
      </c>
      <c r="AE44" s="1">
        <v>2.9700845507524601E-3</v>
      </c>
      <c r="AF44" s="1">
        <v>2.9700844671181198E-3</v>
      </c>
      <c r="AG44" s="1">
        <v>2.9700844103357099E-3</v>
      </c>
      <c r="AH44" s="1">
        <v>2.9700843717840701E-3</v>
      </c>
    </row>
    <row r="45" spans="1:34" x14ac:dyDescent="0.25">
      <c r="A45" s="2">
        <v>43</v>
      </c>
      <c r="B45" s="1">
        <v>3.1237309166501498E-3</v>
      </c>
      <c r="C45" s="1">
        <v>3.11748708199916E-3</v>
      </c>
      <c r="D45" s="1">
        <v>3.1132550185614801E-3</v>
      </c>
      <c r="E45" s="1">
        <v>3.1103849861551301E-3</v>
      </c>
      <c r="F45" s="1">
        <v>3.1084379222676502E-3</v>
      </c>
      <c r="G45" s="1">
        <v>3.1071166832315001E-3</v>
      </c>
      <c r="H45" s="1">
        <v>3.1062199654637501E-3</v>
      </c>
      <c r="I45" s="1">
        <v>3.1056112983457E-3</v>
      </c>
      <c r="J45" s="1">
        <v>3.1051981199165602E-3</v>
      </c>
      <c r="K45" s="1">
        <v>3.1049176292961599E-3</v>
      </c>
      <c r="L45" s="1">
        <v>3.1047272084039198E-3</v>
      </c>
      <c r="M45" s="1">
        <v>3.1045979313621E-3</v>
      </c>
      <c r="N45" s="1">
        <v>3.1045101635275101E-3</v>
      </c>
      <c r="O45" s="1">
        <v>3.1044505761560902E-3</v>
      </c>
      <c r="P45" s="1">
        <v>3.1044101207676001E-3</v>
      </c>
      <c r="Q45" s="1">
        <v>3.1043826544291399E-3</v>
      </c>
      <c r="R45" s="1">
        <v>3.10436400666868E-3</v>
      </c>
      <c r="S45" s="1">
        <v>3.1043513460878398E-3</v>
      </c>
      <c r="T45" s="1">
        <v>3.1043427503872302E-3</v>
      </c>
      <c r="U45" s="1">
        <v>3.1043369144661799E-3</v>
      </c>
      <c r="V45" s="1">
        <v>3.10433295225281E-3</v>
      </c>
      <c r="W45" s="1">
        <v>3.1043302621645498E-3</v>
      </c>
      <c r="X45" s="1">
        <v>3.10432843576687E-3</v>
      </c>
      <c r="Y45" s="1">
        <v>3.1043271957594898E-3</v>
      </c>
      <c r="Z45" s="1">
        <v>3.10432635387354E-3</v>
      </c>
      <c r="AA45" s="1">
        <v>3.1043257822865999E-3</v>
      </c>
      <c r="AB45" s="1">
        <v>3.10432539421545E-3</v>
      </c>
      <c r="AC45" s="1">
        <v>3.1043251307398198E-3</v>
      </c>
      <c r="AD45" s="1">
        <v>3.1043249518566199E-3</v>
      </c>
      <c r="AE45" s="1">
        <v>3.1043248304062901E-3</v>
      </c>
      <c r="AF45" s="1">
        <v>3.1043247479492402E-3</v>
      </c>
      <c r="AG45" s="1">
        <v>3.1043246919661501E-3</v>
      </c>
      <c r="AH45" s="1">
        <v>3.10432465395718E-3</v>
      </c>
    </row>
    <row r="46" spans="1:34" x14ac:dyDescent="0.25">
      <c r="A46" s="2">
        <v>44</v>
      </c>
      <c r="B46" s="1">
        <v>3.2667333419505902E-3</v>
      </c>
      <c r="C46" s="1">
        <v>3.2600220455841701E-3</v>
      </c>
      <c r="D46" s="1">
        <v>3.2554733490367102E-3</v>
      </c>
      <c r="E46" s="1">
        <v>3.2523886850472999E-3</v>
      </c>
      <c r="F46" s="1">
        <v>3.25029605748518E-3</v>
      </c>
      <c r="G46" s="1">
        <v>3.2488760625167998E-3</v>
      </c>
      <c r="H46" s="1">
        <v>3.2479123291706399E-3</v>
      </c>
      <c r="I46" s="1">
        <v>3.2472581781341401E-3</v>
      </c>
      <c r="J46" s="1">
        <v>3.2468141261116699E-3</v>
      </c>
      <c r="K46" s="1">
        <v>3.2465126775539799E-3</v>
      </c>
      <c r="L46" s="1">
        <v>3.2463080290615E-3</v>
      </c>
      <c r="M46" s="1">
        <v>3.24616909307795E-3</v>
      </c>
      <c r="N46" s="1">
        <v>3.2460747677558899E-3</v>
      </c>
      <c r="O46" s="1">
        <v>3.2460107284147501E-3</v>
      </c>
      <c r="P46" s="1">
        <v>3.2459672504897199E-3</v>
      </c>
      <c r="Q46" s="1">
        <v>3.2459377320723502E-3</v>
      </c>
      <c r="R46" s="1">
        <v>3.2459176910951499E-3</v>
      </c>
      <c r="S46" s="1">
        <v>3.2459040846153299E-3</v>
      </c>
      <c r="T46" s="1">
        <v>3.2458948467124701E-3</v>
      </c>
      <c r="U46" s="1">
        <v>3.2458885747783202E-3</v>
      </c>
      <c r="V46" s="1">
        <v>3.2458843165404099E-3</v>
      </c>
      <c r="W46" s="1">
        <v>3.2458814254706001E-3</v>
      </c>
      <c r="X46" s="1">
        <v>3.2458794626193401E-3</v>
      </c>
      <c r="Y46" s="1">
        <v>3.24587812996872E-3</v>
      </c>
      <c r="Z46" s="1">
        <v>3.24587722518393E-3</v>
      </c>
      <c r="AA46" s="1">
        <v>3.2458766108926901E-3</v>
      </c>
      <c r="AB46" s="1">
        <v>3.24587619382803E-3</v>
      </c>
      <c r="AC46" s="1">
        <v>3.2458759106676598E-3</v>
      </c>
      <c r="AD46" s="1">
        <v>3.2458757184197699E-3</v>
      </c>
      <c r="AE46" s="1">
        <v>3.2458755878956701E-3</v>
      </c>
      <c r="AF46" s="1">
        <v>3.2458754992781098E-3</v>
      </c>
      <c r="AG46" s="1">
        <v>3.2458754391124101E-3</v>
      </c>
      <c r="AH46" s="1">
        <v>3.2458753982637302E-3</v>
      </c>
    </row>
    <row r="47" spans="1:34" x14ac:dyDescent="0.25">
      <c r="A47" s="2">
        <v>45</v>
      </c>
      <c r="B47" s="1">
        <v>3.4546121890968902E-3</v>
      </c>
      <c r="C47" s="1">
        <v>3.4475435596258001E-3</v>
      </c>
      <c r="D47" s="1">
        <v>3.4427526402718801E-3</v>
      </c>
      <c r="E47" s="1">
        <v>3.4395036990061802E-3</v>
      </c>
      <c r="F47" s="1">
        <v>3.4372996189513099E-3</v>
      </c>
      <c r="G47" s="1">
        <v>3.4358039922928602E-3</v>
      </c>
      <c r="H47" s="1">
        <v>3.4347889270998498E-3</v>
      </c>
      <c r="I47" s="1">
        <v>3.4340999329570501E-3</v>
      </c>
      <c r="J47" s="1">
        <v>3.43363222834598E-3</v>
      </c>
      <c r="K47" s="1">
        <v>3.4333147228733998E-3</v>
      </c>
      <c r="L47" s="1">
        <v>3.43309917353483E-3</v>
      </c>
      <c r="M47" s="1">
        <v>3.4329528369284098E-3</v>
      </c>
      <c r="N47" s="1">
        <v>3.4328534872191201E-3</v>
      </c>
      <c r="O47" s="1">
        <v>3.43278603671455E-3</v>
      </c>
      <c r="P47" s="1">
        <v>3.4327402428614398E-3</v>
      </c>
      <c r="Q47" s="1">
        <v>3.4327091520922602E-3</v>
      </c>
      <c r="R47" s="1">
        <v>3.4326880435955401E-3</v>
      </c>
      <c r="S47" s="1">
        <v>3.43267371234125E-3</v>
      </c>
      <c r="T47" s="1">
        <v>3.4326639823641599E-3</v>
      </c>
      <c r="U47" s="1">
        <v>3.43265737634359E-3</v>
      </c>
      <c r="V47" s="1">
        <v>3.4326528912825699E-3</v>
      </c>
      <c r="W47" s="1">
        <v>3.43264984621443E-3</v>
      </c>
      <c r="X47" s="1">
        <v>3.4326477788081699E-3</v>
      </c>
      <c r="Y47" s="1">
        <v>3.4326463751713802E-3</v>
      </c>
      <c r="Z47" s="1">
        <v>3.4326454221914999E-3</v>
      </c>
      <c r="AA47" s="1">
        <v>3.4326447751788702E-3</v>
      </c>
      <c r="AB47" s="1">
        <v>3.43264433589846E-3</v>
      </c>
      <c r="AC47" s="1">
        <v>3.4326440376550101E-3</v>
      </c>
      <c r="AD47" s="1">
        <v>3.4326438351666702E-3</v>
      </c>
      <c r="AE47" s="1">
        <v>3.43264369768996E-3</v>
      </c>
      <c r="AF47" s="1">
        <v>3.4326436043520098E-3</v>
      </c>
      <c r="AG47" s="1">
        <v>3.4326435409814701E-3</v>
      </c>
      <c r="AH47" s="1">
        <v>3.4326434979569001E-3</v>
      </c>
    </row>
    <row r="48" spans="1:34" x14ac:dyDescent="0.25">
      <c r="A48" s="2">
        <v>46</v>
      </c>
      <c r="B48" s="1">
        <v>3.6481272417408801E-3</v>
      </c>
      <c r="C48" s="1">
        <v>3.6407514688873402E-3</v>
      </c>
      <c r="D48" s="1">
        <v>3.6357522733039501E-3</v>
      </c>
      <c r="E48" s="1">
        <v>3.6323620429750498E-3</v>
      </c>
      <c r="F48" s="1">
        <v>3.63006209064467E-3</v>
      </c>
      <c r="G48" s="1">
        <v>3.6285013976939998E-3</v>
      </c>
      <c r="H48" s="1">
        <v>3.6274421680933598E-3</v>
      </c>
      <c r="I48" s="1">
        <v>3.62672319441031E-3</v>
      </c>
      <c r="J48" s="1">
        <v>3.6262351380327001E-3</v>
      </c>
      <c r="K48" s="1">
        <v>3.6259038161267402E-3</v>
      </c>
      <c r="L48" s="1">
        <v>3.6256788868253799E-3</v>
      </c>
      <c r="M48" s="1">
        <v>3.62552618205877E-3</v>
      </c>
      <c r="N48" s="1">
        <v>3.6254225088832902E-3</v>
      </c>
      <c r="O48" s="1">
        <v>3.6253521230705599E-3</v>
      </c>
      <c r="P48" s="1">
        <v>3.6253043363530801E-3</v>
      </c>
      <c r="Q48" s="1">
        <v>3.62527189256638E-3</v>
      </c>
      <c r="R48" s="1">
        <v>3.6252498654616898E-3</v>
      </c>
      <c r="S48" s="1">
        <v>3.6252349105332401E-3</v>
      </c>
      <c r="T48" s="1">
        <v>3.6252247571220701E-3</v>
      </c>
      <c r="U48" s="1">
        <v>3.62521786361716E-3</v>
      </c>
      <c r="V48" s="1">
        <v>3.6252131833727601E-3</v>
      </c>
      <c r="W48" s="1">
        <v>3.6252100057876102E-3</v>
      </c>
      <c r="X48" s="1">
        <v>3.6252078484107601E-3</v>
      </c>
      <c r="Y48" s="1">
        <v>3.62520638368968E-3</v>
      </c>
      <c r="Z48" s="1">
        <v>3.6252053892374598E-3</v>
      </c>
      <c r="AA48" s="1">
        <v>3.6252047140677402E-3</v>
      </c>
      <c r="AB48" s="1">
        <v>3.62520425567047E-3</v>
      </c>
      <c r="AC48" s="1">
        <v>3.6252039444478901E-3</v>
      </c>
      <c r="AD48" s="1">
        <v>3.6252037331475401E-3</v>
      </c>
      <c r="AE48" s="1">
        <v>3.6252035896880302E-3</v>
      </c>
      <c r="AF48" s="1">
        <v>3.62520349228814E-3</v>
      </c>
      <c r="AG48" s="1">
        <v>3.6252034261598102E-3</v>
      </c>
      <c r="AH48" s="1">
        <v>3.6252033812628798E-3</v>
      </c>
    </row>
    <row r="49" spans="1:34" x14ac:dyDescent="0.25">
      <c r="A49" s="2">
        <v>47</v>
      </c>
      <c r="B49" s="1">
        <v>3.80784661897325E-3</v>
      </c>
      <c r="C49" s="1">
        <v>3.79982510869234E-3</v>
      </c>
      <c r="D49" s="1">
        <v>3.7943886276038501E-3</v>
      </c>
      <c r="E49" s="1">
        <v>3.7907020276892901E-3</v>
      </c>
      <c r="F49" s="1">
        <v>3.7882010983849301E-3</v>
      </c>
      <c r="G49" s="1">
        <v>3.78650406497407E-3</v>
      </c>
      <c r="H49" s="1">
        <v>3.7853523196001498E-3</v>
      </c>
      <c r="I49" s="1">
        <v>3.78457055696273E-3</v>
      </c>
      <c r="J49" s="1">
        <v>3.7840398816474398E-3</v>
      </c>
      <c r="K49" s="1">
        <v>3.7836796291554902E-3</v>
      </c>
      <c r="L49" s="1">
        <v>3.78343506011267E-3</v>
      </c>
      <c r="M49" s="1">
        <v>3.7832690222641299E-3</v>
      </c>
      <c r="N49" s="1">
        <v>3.7831562972592799E-3</v>
      </c>
      <c r="O49" s="1">
        <v>3.7830797660535899E-3</v>
      </c>
      <c r="P49" s="1">
        <v>3.7830278071080302E-3</v>
      </c>
      <c r="Q49" s="1">
        <v>3.7829925306911501E-3</v>
      </c>
      <c r="R49" s="1">
        <v>3.7829685804324901E-3</v>
      </c>
      <c r="S49" s="1">
        <v>3.7829523198147901E-3</v>
      </c>
      <c r="T49" s="1">
        <v>3.78294127992825E-3</v>
      </c>
      <c r="U49" s="1">
        <v>3.7829337845650302E-3</v>
      </c>
      <c r="V49" s="1">
        <v>3.78292869569806E-3</v>
      </c>
      <c r="W49" s="1">
        <v>3.7829252406846102E-3</v>
      </c>
      <c r="X49" s="1">
        <v>3.78292289495179E-3</v>
      </c>
      <c r="Y49" s="1">
        <v>3.7829213023490601E-3</v>
      </c>
      <c r="Z49" s="1">
        <v>3.7829202210733701E-3</v>
      </c>
      <c r="AA49" s="1">
        <v>3.7829194869560601E-3</v>
      </c>
      <c r="AB49" s="1">
        <v>3.7829189885371199E-3</v>
      </c>
      <c r="AC49" s="1">
        <v>3.7829186501423702E-3</v>
      </c>
      <c r="AD49" s="1">
        <v>3.7829184203938501E-3</v>
      </c>
      <c r="AE49" s="1">
        <v>3.7829182644092099E-3</v>
      </c>
      <c r="AF49" s="1">
        <v>3.78291815850555E-3</v>
      </c>
      <c r="AG49" s="1">
        <v>3.7829180866037E-3</v>
      </c>
      <c r="AH49" s="1">
        <v>3.78291803778691E-3</v>
      </c>
    </row>
    <row r="50" spans="1:34" x14ac:dyDescent="0.25">
      <c r="A50" s="2">
        <v>48</v>
      </c>
      <c r="B50" s="1">
        <v>4.0216105368142399E-3</v>
      </c>
      <c r="C50" s="1">
        <v>4.0123810041882502E-3</v>
      </c>
      <c r="D50" s="1">
        <v>4.0061267890391297E-3</v>
      </c>
      <c r="E50" s="1">
        <v>4.0018861202851504E-3</v>
      </c>
      <c r="F50" s="1">
        <v>3.9990095292469904E-3</v>
      </c>
      <c r="G50" s="1">
        <v>3.9970576829132503E-3</v>
      </c>
      <c r="H50" s="1">
        <v>3.9957330451693904E-3</v>
      </c>
      <c r="I50" s="1">
        <v>3.9948339500098101E-3</v>
      </c>
      <c r="J50" s="1">
        <v>3.9942236365972401E-3</v>
      </c>
      <c r="K50" s="1">
        <v>3.9938093256030203E-3</v>
      </c>
      <c r="L50" s="1">
        <v>3.9935280592060104E-3</v>
      </c>
      <c r="M50" s="1">
        <v>3.9933371084597902E-3</v>
      </c>
      <c r="N50" s="1">
        <v>3.9932074702284997E-3</v>
      </c>
      <c r="O50" s="1">
        <v>3.9931194564998204E-3</v>
      </c>
      <c r="P50" s="1">
        <v>3.9930597018733903E-3</v>
      </c>
      <c r="Q50" s="1">
        <v>3.9930191327871602E-3</v>
      </c>
      <c r="R50" s="1">
        <v>3.9929915891896098E-3</v>
      </c>
      <c r="S50" s="1">
        <v>3.9929728889449099E-3</v>
      </c>
      <c r="T50" s="1">
        <v>3.9929601927166901E-3</v>
      </c>
      <c r="U50" s="1">
        <v>3.99295157280735E-3</v>
      </c>
      <c r="V50" s="1">
        <v>3.9929457204471398E-3</v>
      </c>
      <c r="W50" s="1">
        <v>3.9929417470712797E-3</v>
      </c>
      <c r="X50" s="1">
        <v>3.9929390494037598E-3</v>
      </c>
      <c r="Y50" s="1">
        <v>3.9929372178599404E-3</v>
      </c>
      <c r="Z50" s="1">
        <v>3.9929359743585396E-3</v>
      </c>
      <c r="AA50" s="1">
        <v>3.9929351301003103E-3</v>
      </c>
      <c r="AB50" s="1">
        <v>3.9929345569027202E-3</v>
      </c>
      <c r="AC50" s="1">
        <v>3.9929341677380102E-3</v>
      </c>
      <c r="AD50" s="1">
        <v>3.9929339035199296E-3</v>
      </c>
      <c r="AE50" s="1">
        <v>3.9929337241326399E-3</v>
      </c>
      <c r="AF50" s="1">
        <v>3.9929336023400803E-3</v>
      </c>
      <c r="AG50" s="1">
        <v>3.9929335196506703E-3</v>
      </c>
      <c r="AH50" s="1">
        <v>3.9929334635098101E-3</v>
      </c>
    </row>
    <row r="51" spans="1:34" x14ac:dyDescent="0.25">
      <c r="A51" s="2">
        <v>49</v>
      </c>
      <c r="B51" s="1">
        <v>4.3335923905854102E-3</v>
      </c>
      <c r="C51" s="1">
        <v>4.3234890763930896E-3</v>
      </c>
      <c r="D51" s="1">
        <v>4.3166429672358104E-3</v>
      </c>
      <c r="E51" s="1">
        <v>4.3120010603304197E-3</v>
      </c>
      <c r="F51" s="1">
        <v>4.3088523396339297E-3</v>
      </c>
      <c r="G51" s="1">
        <v>4.3067158660653297E-3</v>
      </c>
      <c r="H51" s="1">
        <v>4.30526593874538E-3</v>
      </c>
      <c r="I51" s="1">
        <v>4.3042818078401802E-3</v>
      </c>
      <c r="J51" s="1">
        <v>4.30361377342373E-3</v>
      </c>
      <c r="K51" s="1">
        <v>4.3031602794640997E-3</v>
      </c>
      <c r="L51" s="1">
        <v>4.3028524130556802E-3</v>
      </c>
      <c r="M51" s="1">
        <v>4.3026434038512503E-3</v>
      </c>
      <c r="N51" s="1">
        <v>4.3025015056547197E-3</v>
      </c>
      <c r="O51" s="1">
        <v>4.3024051684561696E-3</v>
      </c>
      <c r="P51" s="1">
        <v>4.3023397628458799E-3</v>
      </c>
      <c r="Q51" s="1">
        <v>4.3022953571574896E-3</v>
      </c>
      <c r="R51" s="1">
        <v>4.3022652087770404E-3</v>
      </c>
      <c r="S51" s="1">
        <v>4.3022447400623302E-3</v>
      </c>
      <c r="T51" s="1">
        <v>4.3022308431608898E-3</v>
      </c>
      <c r="U51" s="1">
        <v>4.3022214080732897E-3</v>
      </c>
      <c r="V51" s="1">
        <v>4.3022150022600202E-3</v>
      </c>
      <c r="W51" s="1">
        <v>4.30221065312523E-3</v>
      </c>
      <c r="X51" s="1">
        <v>4.3022077003415302E-3</v>
      </c>
      <c r="Y51" s="1">
        <v>4.30220569559016E-3</v>
      </c>
      <c r="Z51" s="1">
        <v>4.3022043344918704E-3</v>
      </c>
      <c r="AA51" s="1">
        <v>4.3022034103928604E-3</v>
      </c>
      <c r="AB51" s="1">
        <v>4.3022027829884603E-3</v>
      </c>
      <c r="AC51" s="1">
        <v>4.3022023570207799E-3</v>
      </c>
      <c r="AD51" s="1">
        <v>4.3022020678158204E-3</v>
      </c>
      <c r="AE51" s="1">
        <v>4.3022018714640297E-3</v>
      </c>
      <c r="AF51" s="1">
        <v>4.3022017381536496E-3</v>
      </c>
      <c r="AG51" s="1">
        <v>4.3022016476443698E-3</v>
      </c>
      <c r="AH51" s="1">
        <v>4.3022015861943303E-3</v>
      </c>
    </row>
    <row r="52" spans="1:34" x14ac:dyDescent="0.25">
      <c r="A52" s="2">
        <v>50</v>
      </c>
      <c r="B52" s="1">
        <v>4.6540570216304297E-3</v>
      </c>
      <c r="C52" s="1">
        <v>4.6429696899676102E-3</v>
      </c>
      <c r="D52" s="1">
        <v>4.63545711919215E-3</v>
      </c>
      <c r="E52" s="1">
        <v>4.6303634741736996E-3</v>
      </c>
      <c r="F52" s="1">
        <v>4.6269083958616003E-3</v>
      </c>
      <c r="G52" s="1">
        <v>4.6245640832965002E-3</v>
      </c>
      <c r="H52" s="1">
        <v>4.6229731194545303E-3</v>
      </c>
      <c r="I52" s="1">
        <v>4.62189326732483E-3</v>
      </c>
      <c r="J52" s="1">
        <v>4.6211602597683102E-3</v>
      </c>
      <c r="K52" s="1">
        <v>4.6206626603133103E-3</v>
      </c>
      <c r="L52" s="1">
        <v>4.6203248523659403E-3</v>
      </c>
      <c r="M52" s="1">
        <v>4.6200955162753804E-3</v>
      </c>
      <c r="N52" s="1">
        <v>4.6199398181136202E-3</v>
      </c>
      <c r="O52" s="1">
        <v>4.6198341119376403E-3</v>
      </c>
      <c r="P52" s="1">
        <v>4.61976234553544E-3</v>
      </c>
      <c r="Q52" s="1">
        <v>4.6197136213419398E-3</v>
      </c>
      <c r="R52" s="1">
        <v>4.6196805410024296E-3</v>
      </c>
      <c r="S52" s="1">
        <v>4.6196580816883596E-3</v>
      </c>
      <c r="T52" s="1">
        <v>4.6196428333031298E-3</v>
      </c>
      <c r="U52" s="1">
        <v>4.6196324806469903E-3</v>
      </c>
      <c r="V52" s="1">
        <v>4.6196254518644101E-3</v>
      </c>
      <c r="W52" s="1">
        <v>4.6196206797736797E-3</v>
      </c>
      <c r="X52" s="1">
        <v>4.6196174398300902E-3</v>
      </c>
      <c r="Y52" s="1">
        <v>4.61961524011552E-3</v>
      </c>
      <c r="Z52" s="1">
        <v>4.6196137466496803E-3</v>
      </c>
      <c r="AA52" s="1">
        <v>4.6196127326815399E-3</v>
      </c>
      <c r="AB52" s="1">
        <v>4.6196120442617301E-3</v>
      </c>
      <c r="AC52" s="1">
        <v>4.6196115768684601E-3</v>
      </c>
      <c r="AD52" s="1">
        <v>4.6196112595381601E-3</v>
      </c>
      <c r="AE52" s="1">
        <v>4.6196110440910598E-3</v>
      </c>
      <c r="AF52" s="1">
        <v>4.6196108978161701E-3</v>
      </c>
      <c r="AG52" s="1">
        <v>4.6196107985048201E-3</v>
      </c>
      <c r="AH52" s="1">
        <v>4.6196107310787302E-3</v>
      </c>
    </row>
    <row r="53" spans="1:34" x14ac:dyDescent="0.25">
      <c r="A53" s="2">
        <v>51</v>
      </c>
      <c r="B53" s="1">
        <v>4.9535970573305202E-3</v>
      </c>
      <c r="C53" s="1">
        <v>4.9424677797269998E-3</v>
      </c>
      <c r="D53" s="1">
        <v>4.9349259265425403E-3</v>
      </c>
      <c r="E53" s="1">
        <v>4.92981203138279E-3</v>
      </c>
      <c r="F53" s="1">
        <v>4.9263430346991799E-3</v>
      </c>
      <c r="G53" s="1">
        <v>4.9239891942914199E-3</v>
      </c>
      <c r="H53" s="1">
        <v>4.9223917256632299E-3</v>
      </c>
      <c r="I53" s="1">
        <v>4.9213074406208798E-3</v>
      </c>
      <c r="J53" s="1">
        <v>4.9205714157612504E-3</v>
      </c>
      <c r="K53" s="1">
        <v>4.9200717642299899E-3</v>
      </c>
      <c r="L53" s="1">
        <v>4.9197325614314096E-3</v>
      </c>
      <c r="M53" s="1">
        <v>4.9195022775780301E-3</v>
      </c>
      <c r="N53" s="1">
        <v>4.9193459356010197E-3</v>
      </c>
      <c r="O53" s="1">
        <v>4.91923979215661E-3</v>
      </c>
      <c r="P53" s="1">
        <v>4.9191677288037304E-3</v>
      </c>
      <c r="Q53" s="1">
        <v>4.9191188029658398E-3</v>
      </c>
      <c r="R53" s="1">
        <v>4.9190855857070602E-3</v>
      </c>
      <c r="S53" s="1">
        <v>4.9190630334263203E-3</v>
      </c>
      <c r="T53" s="1">
        <v>4.9190477219193396E-3</v>
      </c>
      <c r="U53" s="1">
        <v>4.9190373264059997E-3</v>
      </c>
      <c r="V53" s="1">
        <v>4.9190302685254202E-3</v>
      </c>
      <c r="W53" s="1">
        <v>4.9190254766786701E-3</v>
      </c>
      <c r="X53" s="1">
        <v>4.9190222233218396E-3</v>
      </c>
      <c r="Y53" s="1">
        <v>4.9190200145004699E-3</v>
      </c>
      <c r="Z53" s="1">
        <v>4.9190185148516698E-3</v>
      </c>
      <c r="AA53" s="1">
        <v>4.9190174966856704E-3</v>
      </c>
      <c r="AB53" s="1">
        <v>4.9190168054157601E-3</v>
      </c>
      <c r="AC53" s="1">
        <v>4.9190163360874704E-3</v>
      </c>
      <c r="AD53" s="1">
        <v>4.9190160174434E-3</v>
      </c>
      <c r="AE53" s="1">
        <v>4.9190158011043397E-3</v>
      </c>
      <c r="AF53" s="1">
        <v>4.9190156542238701E-3</v>
      </c>
      <c r="AG53" s="1">
        <v>4.9190155545013603E-3</v>
      </c>
      <c r="AH53" s="1">
        <v>4.91901548679611E-3</v>
      </c>
    </row>
    <row r="54" spans="1:34" x14ac:dyDescent="0.25">
      <c r="A54" s="2">
        <v>52</v>
      </c>
      <c r="B54" s="1">
        <v>5.3075939115216899E-3</v>
      </c>
      <c r="C54" s="1">
        <v>5.2967487878048799E-3</v>
      </c>
      <c r="D54" s="1">
        <v>5.2893982371478099E-3</v>
      </c>
      <c r="E54" s="1">
        <v>5.2844134795752996E-3</v>
      </c>
      <c r="F54" s="1">
        <v>5.2810318164815302E-3</v>
      </c>
      <c r="G54" s="1">
        <v>5.2787371122951102E-3</v>
      </c>
      <c r="H54" s="1">
        <v>5.27717972075615E-3</v>
      </c>
      <c r="I54" s="1">
        <v>5.2761226120431196E-3</v>
      </c>
      <c r="J54" s="1">
        <v>5.2754050227633003E-3</v>
      </c>
      <c r="K54" s="1">
        <v>5.2749178807128703E-3</v>
      </c>
      <c r="L54" s="1">
        <v>5.2745871677817701E-3</v>
      </c>
      <c r="M54" s="1">
        <v>5.2743626464994697E-3</v>
      </c>
      <c r="N54" s="1">
        <v>5.2742102162463399E-3</v>
      </c>
      <c r="O54" s="1">
        <v>5.2741067282931998E-3</v>
      </c>
      <c r="P54" s="1">
        <v>5.2740364677023597E-3</v>
      </c>
      <c r="Q54" s="1">
        <v>5.2739887657572201E-3</v>
      </c>
      <c r="R54" s="1">
        <v>5.27395637941245E-3</v>
      </c>
      <c r="S54" s="1">
        <v>5.2739343912550597E-3</v>
      </c>
      <c r="T54" s="1">
        <v>5.2739194627453101E-3</v>
      </c>
      <c r="U54" s="1">
        <v>5.2739093272596901E-3</v>
      </c>
      <c r="V54" s="1">
        <v>5.2739024459199802E-3</v>
      </c>
      <c r="W54" s="1">
        <v>5.2738977739326303E-3</v>
      </c>
      <c r="X54" s="1">
        <v>5.2738946019523997E-3</v>
      </c>
      <c r="Y54" s="1">
        <v>5.2738924483804401E-3</v>
      </c>
      <c r="Z54" s="1">
        <v>5.2738909862424001E-3</v>
      </c>
      <c r="AA54" s="1">
        <v>5.2738899935437997E-3</v>
      </c>
      <c r="AB54" s="1">
        <v>5.2738893195646399E-3</v>
      </c>
      <c r="AC54" s="1">
        <v>5.2738888619756497E-3</v>
      </c>
      <c r="AD54" s="1">
        <v>5.2738885513018202E-3</v>
      </c>
      <c r="AE54" s="1">
        <v>5.2738883403740397E-3</v>
      </c>
      <c r="AF54" s="1">
        <v>5.2738881971674898E-3</v>
      </c>
      <c r="AG54" s="1">
        <v>5.2738880999393303E-3</v>
      </c>
      <c r="AH54" s="1">
        <v>5.2738880339276003E-3</v>
      </c>
    </row>
    <row r="55" spans="1:34" x14ac:dyDescent="0.25">
      <c r="A55" s="2">
        <v>53</v>
      </c>
      <c r="B55" s="1">
        <v>5.66333824634087E-3</v>
      </c>
      <c r="C55" s="1">
        <v>5.6529385457065404E-3</v>
      </c>
      <c r="D55" s="1">
        <v>5.6458886653905404E-3</v>
      </c>
      <c r="E55" s="1">
        <v>5.6411072420407401E-3</v>
      </c>
      <c r="F55" s="1">
        <v>5.63786326094889E-3</v>
      </c>
      <c r="G55" s="1">
        <v>5.6356618641798199E-3</v>
      </c>
      <c r="H55" s="1">
        <v>5.6341677441841698E-3</v>
      </c>
      <c r="I55" s="1">
        <v>5.6331535567707199E-3</v>
      </c>
      <c r="J55" s="1">
        <v>5.6324650917107099E-3</v>
      </c>
      <c r="K55" s="1">
        <v>5.6319977154978803E-3</v>
      </c>
      <c r="L55" s="1">
        <v>5.6316804187855904E-3</v>
      </c>
      <c r="M55" s="1">
        <v>5.6314650046368998E-3</v>
      </c>
      <c r="N55" s="1">
        <v>5.63131875679913E-3</v>
      </c>
      <c r="O55" s="1">
        <v>5.6312194659676497E-3</v>
      </c>
      <c r="P55" s="1">
        <v>5.6311520547964802E-3</v>
      </c>
      <c r="Q55" s="1">
        <v>5.6311062873528302E-3</v>
      </c>
      <c r="R55" s="1">
        <v>5.6310752143778203E-3</v>
      </c>
      <c r="S55" s="1">
        <v>5.6310541178994497E-3</v>
      </c>
      <c r="T55" s="1">
        <v>5.63103979477591E-3</v>
      </c>
      <c r="U55" s="1">
        <v>5.6310300703057503E-3</v>
      </c>
      <c r="V55" s="1">
        <v>5.6310234680179002E-3</v>
      </c>
      <c r="W55" s="1">
        <v>5.6310189854883201E-3</v>
      </c>
      <c r="X55" s="1">
        <v>5.6310159421375603E-3</v>
      </c>
      <c r="Y55" s="1">
        <v>5.6310138758966797E-3</v>
      </c>
      <c r="Z55" s="1">
        <v>5.6310124730508402E-3</v>
      </c>
      <c r="AA55" s="1">
        <v>5.6310115206078398E-3</v>
      </c>
      <c r="AB55" s="1">
        <v>5.63101087395965E-3</v>
      </c>
      <c r="AC55" s="1">
        <v>5.6310104349266603E-3</v>
      </c>
      <c r="AD55" s="1">
        <v>5.6310101368511603E-3</v>
      </c>
      <c r="AE55" s="1">
        <v>5.6310099344768503E-3</v>
      </c>
      <c r="AF55" s="1">
        <v>5.6310097970775604E-3</v>
      </c>
      <c r="AG55" s="1">
        <v>5.6310097037921697E-3</v>
      </c>
      <c r="AH55" s="1">
        <v>5.6310096404573098E-3</v>
      </c>
    </row>
    <row r="56" spans="1:34" x14ac:dyDescent="0.25">
      <c r="A56" s="2">
        <v>54</v>
      </c>
      <c r="B56" s="1">
        <v>6.0784957719761104E-3</v>
      </c>
      <c r="C56" s="1">
        <v>6.0671742033268803E-3</v>
      </c>
      <c r="D56" s="1">
        <v>6.0594995618982799E-3</v>
      </c>
      <c r="E56" s="1">
        <v>6.0542944849522103E-3</v>
      </c>
      <c r="F56" s="1">
        <v>6.0507631092116603E-3</v>
      </c>
      <c r="G56" s="1">
        <v>6.0483666999325801E-3</v>
      </c>
      <c r="H56" s="1">
        <v>6.0467402296048196E-3</v>
      </c>
      <c r="I56" s="1">
        <v>6.0456362081209598E-3</v>
      </c>
      <c r="J56" s="1">
        <v>6.0448867622170197E-3</v>
      </c>
      <c r="K56" s="1">
        <v>6.0443779888549798E-3</v>
      </c>
      <c r="L56" s="1">
        <v>6.0440325883989897E-3</v>
      </c>
      <c r="M56" s="1">
        <v>6.0437980946496097E-3</v>
      </c>
      <c r="N56" s="1">
        <v>6.0436388934618102E-3</v>
      </c>
      <c r="O56" s="1">
        <v>6.0435308083529602E-3</v>
      </c>
      <c r="P56" s="1">
        <v>6.0434574265295698E-3</v>
      </c>
      <c r="Q56" s="1">
        <v>6.0434076054400702E-3</v>
      </c>
      <c r="R56" s="1">
        <v>6.0433737803190397E-3</v>
      </c>
      <c r="S56" s="1">
        <v>6.04335081531851E-3</v>
      </c>
      <c r="T56" s="1">
        <v>6.0433352235918104E-3</v>
      </c>
      <c r="U56" s="1">
        <v>6.0433246378228597E-3</v>
      </c>
      <c r="V56" s="1">
        <v>6.0433174507688297E-3</v>
      </c>
      <c r="W56" s="1">
        <v>6.0433125712206397E-3</v>
      </c>
      <c r="X56" s="1">
        <v>6.0433092583196697E-3</v>
      </c>
      <c r="Y56" s="1">
        <v>6.0433070090714297E-3</v>
      </c>
      <c r="Z56" s="1">
        <v>6.0433054819752597E-3</v>
      </c>
      <c r="AA56" s="1">
        <v>6.0433044451741903E-3</v>
      </c>
      <c r="AB56" s="1">
        <v>6.0433037412522504E-3</v>
      </c>
      <c r="AC56" s="1">
        <v>6.0433032633340203E-3</v>
      </c>
      <c r="AD56" s="1">
        <v>6.0433029388579198E-3</v>
      </c>
      <c r="AE56" s="1">
        <v>6.0433027185592802E-3</v>
      </c>
      <c r="AF56" s="1">
        <v>6.0433025689905096E-3</v>
      </c>
      <c r="AG56" s="1">
        <v>6.0433024674428097E-3</v>
      </c>
      <c r="AH56" s="1">
        <v>6.0433023984983797E-3</v>
      </c>
    </row>
    <row r="57" spans="1:34" x14ac:dyDescent="0.25">
      <c r="A57" s="2">
        <v>55</v>
      </c>
      <c r="B57" s="1">
        <v>6.4608062359222803E-3</v>
      </c>
      <c r="C57" s="1">
        <v>6.4478933461557001E-3</v>
      </c>
      <c r="D57" s="1">
        <v>6.4391409794005098E-3</v>
      </c>
      <c r="E57" s="1">
        <v>6.43320542879722E-3</v>
      </c>
      <c r="F57" s="1">
        <v>6.4291786756698697E-3</v>
      </c>
      <c r="G57" s="1">
        <v>6.4264461981342804E-3</v>
      </c>
      <c r="H57" s="1">
        <v>6.4245916792896899E-3</v>
      </c>
      <c r="I57" s="1">
        <v>6.4233328828647799E-3</v>
      </c>
      <c r="J57" s="1">
        <v>6.4224783801915897E-3</v>
      </c>
      <c r="K57" s="1">
        <v>6.4218982917480299E-3</v>
      </c>
      <c r="L57" s="1">
        <v>6.4215044783167202E-3</v>
      </c>
      <c r="M57" s="1">
        <v>6.4212371177376198E-3</v>
      </c>
      <c r="N57" s="1">
        <v>6.42105560321509E-3</v>
      </c>
      <c r="O57" s="1">
        <v>6.4209323693017496E-3</v>
      </c>
      <c r="P57" s="1">
        <v>6.4208487026478703E-3</v>
      </c>
      <c r="Q57" s="1">
        <v>6.4207918989249799E-3</v>
      </c>
      <c r="R57" s="1">
        <v>6.4207533330916302E-3</v>
      </c>
      <c r="S57" s="1">
        <v>6.4207271494726497E-3</v>
      </c>
      <c r="T57" s="1">
        <v>6.4207093725196004E-3</v>
      </c>
      <c r="U57" s="1">
        <v>6.4206973031258902E-3</v>
      </c>
      <c r="V57" s="1">
        <v>6.4206891087872702E-3</v>
      </c>
      <c r="W57" s="1">
        <v>6.4206835453579202E-3</v>
      </c>
      <c r="X57" s="1">
        <v>6.4206797681456004E-3</v>
      </c>
      <c r="Y57" s="1">
        <v>6.4206772036596704E-3</v>
      </c>
      <c r="Z57" s="1">
        <v>6.4206754625372496E-3</v>
      </c>
      <c r="AA57" s="1">
        <v>6.42067428042601E-3</v>
      </c>
      <c r="AB57" s="1">
        <v>6.4206734778477197E-3</v>
      </c>
      <c r="AC57" s="1">
        <v>6.4206729329481004E-3</v>
      </c>
      <c r="AD57" s="1">
        <v>6.4206725629959004E-3</v>
      </c>
      <c r="AE57" s="1">
        <v>6.4206723118218796E-3</v>
      </c>
      <c r="AF57" s="1">
        <v>6.4206721412906802E-3</v>
      </c>
      <c r="AG57" s="1">
        <v>6.4206720255108396E-3</v>
      </c>
      <c r="AH57" s="1">
        <v>6.4206719469036798E-3</v>
      </c>
    </row>
    <row r="58" spans="1:34" x14ac:dyDescent="0.25">
      <c r="A58" s="2">
        <v>56</v>
      </c>
      <c r="B58" s="1">
        <v>6.8547741210962503E-3</v>
      </c>
      <c r="C58" s="1">
        <v>6.8414643453585796E-3</v>
      </c>
      <c r="D58" s="1">
        <v>6.8324425351128596E-3</v>
      </c>
      <c r="E58" s="1">
        <v>6.8263240575409702E-3</v>
      </c>
      <c r="F58" s="1">
        <v>6.8221731124147702E-3</v>
      </c>
      <c r="G58" s="1">
        <v>6.8193563181758099E-3</v>
      </c>
      <c r="H58" s="1">
        <v>6.8174445544722699E-3</v>
      </c>
      <c r="I58" s="1">
        <v>6.81614689280826E-3</v>
      </c>
      <c r="J58" s="1">
        <v>6.8152660032844E-3</v>
      </c>
      <c r="K58" s="1">
        <v>6.8146679999277499E-3</v>
      </c>
      <c r="L58" s="1">
        <v>6.8142620234465301E-3</v>
      </c>
      <c r="M58" s="1">
        <v>6.8139864049468297E-3</v>
      </c>
      <c r="N58" s="1">
        <v>6.8137992838289297E-3</v>
      </c>
      <c r="O58" s="1">
        <v>6.81367224339727E-3</v>
      </c>
      <c r="P58" s="1">
        <v>6.8135859923610202E-3</v>
      </c>
      <c r="Q58" s="1">
        <v>6.8135274340074799E-3</v>
      </c>
      <c r="R58" s="1">
        <v>6.8134876768917701E-3</v>
      </c>
      <c r="S58" s="1">
        <v>6.8134606844679202E-3</v>
      </c>
      <c r="T58" s="1">
        <v>6.8134423583878301E-3</v>
      </c>
      <c r="U58" s="1">
        <v>6.8134299161717801E-3</v>
      </c>
      <c r="V58" s="1">
        <v>6.8134214687105002E-3</v>
      </c>
      <c r="W58" s="1">
        <v>6.81341573342695E-3</v>
      </c>
      <c r="X58" s="1">
        <v>6.8134118395365498E-3</v>
      </c>
      <c r="Y58" s="1">
        <v>6.81340919583363E-3</v>
      </c>
      <c r="Z58" s="1">
        <v>6.8134074009278999E-3</v>
      </c>
      <c r="AA58" s="1">
        <v>6.8134061823012099E-3</v>
      </c>
      <c r="AB58" s="1">
        <v>6.8134053549312396E-3</v>
      </c>
      <c r="AC58" s="1">
        <v>6.8134047931996504E-3</v>
      </c>
      <c r="AD58" s="1">
        <v>6.8134044118196204E-3</v>
      </c>
      <c r="AE58" s="1">
        <v>6.8134041528868303E-3</v>
      </c>
      <c r="AF58" s="1">
        <v>6.8134039770879097E-3</v>
      </c>
      <c r="AG58" s="1">
        <v>6.8134038577316201E-3</v>
      </c>
      <c r="AH58" s="1">
        <v>6.8134037766962802E-3</v>
      </c>
    </row>
    <row r="59" spans="1:34" x14ac:dyDescent="0.25">
      <c r="A59" s="2">
        <v>57</v>
      </c>
      <c r="B59" s="1">
        <v>7.2901155774238004E-3</v>
      </c>
      <c r="C59" s="1">
        <v>7.2783502725603097E-3</v>
      </c>
      <c r="D59" s="1">
        <v>7.2703731623883798E-3</v>
      </c>
      <c r="E59" s="1">
        <v>7.2649621768290599E-3</v>
      </c>
      <c r="F59" s="1">
        <v>7.2612907484851897E-3</v>
      </c>
      <c r="G59" s="1">
        <v>7.2587991355828304E-3</v>
      </c>
      <c r="H59" s="1">
        <v>7.2571079742516104E-3</v>
      </c>
      <c r="I59" s="1">
        <v>7.2559600069062504E-3</v>
      </c>
      <c r="J59" s="1">
        <v>7.2551807131366998E-3</v>
      </c>
      <c r="K59" s="1">
        <v>7.2546516697086999E-3</v>
      </c>
      <c r="L59" s="1">
        <v>7.2542925047409303E-3</v>
      </c>
      <c r="M59" s="1">
        <v>7.2540486646449596E-3</v>
      </c>
      <c r="N59" s="1">
        <v>7.2538831173665202E-3</v>
      </c>
      <c r="O59" s="1">
        <v>7.2537707234278798E-3</v>
      </c>
      <c r="P59" s="1">
        <v>7.2536944160734003E-3</v>
      </c>
      <c r="Q59" s="1">
        <v>7.2536426086837096E-3</v>
      </c>
      <c r="R59" s="1">
        <v>7.2536074349678001E-3</v>
      </c>
      <c r="S59" s="1">
        <v>7.2535835543463103E-3</v>
      </c>
      <c r="T59" s="1">
        <v>7.2535673409662004E-3</v>
      </c>
      <c r="U59" s="1">
        <v>7.2535563331318099E-3</v>
      </c>
      <c r="V59" s="1">
        <v>7.2535488595211204E-3</v>
      </c>
      <c r="W59" s="1">
        <v>7.2535437854186601E-3</v>
      </c>
      <c r="X59" s="1">
        <v>7.2535403404274997E-3</v>
      </c>
      <c r="Y59" s="1">
        <v>7.2535380014983001E-3</v>
      </c>
      <c r="Z59" s="1">
        <v>7.2535364135144099E-3</v>
      </c>
      <c r="AA59" s="1">
        <v>7.2535353353744298E-3</v>
      </c>
      <c r="AB59" s="1">
        <v>7.2535346033859799E-3</v>
      </c>
      <c r="AC59" s="1">
        <v>7.2535341064123701E-3</v>
      </c>
      <c r="AD59" s="1">
        <v>7.2535337689988797E-3</v>
      </c>
      <c r="AE59" s="1">
        <v>7.2535335399165702E-3</v>
      </c>
      <c r="AF59" s="1">
        <v>7.2535333843842401E-3</v>
      </c>
      <c r="AG59" s="1">
        <v>7.2535332787876704E-3</v>
      </c>
      <c r="AH59" s="1">
        <v>7.25353320709431E-3</v>
      </c>
    </row>
    <row r="60" spans="1:34" x14ac:dyDescent="0.25">
      <c r="A60" s="2">
        <v>58</v>
      </c>
      <c r="B60" s="1">
        <v>7.8970268968815999E-3</v>
      </c>
      <c r="C60" s="1">
        <v>7.8861579304497602E-3</v>
      </c>
      <c r="D60" s="1">
        <v>7.8787870863484804E-3</v>
      </c>
      <c r="E60" s="1">
        <v>7.8737866628508599E-3</v>
      </c>
      <c r="F60" s="1">
        <v>7.8703934947603506E-3</v>
      </c>
      <c r="G60" s="1">
        <v>7.8680905793708303E-3</v>
      </c>
      <c r="H60" s="1">
        <v>7.8665274286863207E-3</v>
      </c>
      <c r="I60" s="1">
        <v>7.8654663249876702E-3</v>
      </c>
      <c r="J60" s="1">
        <v>7.8647459842489508E-3</v>
      </c>
      <c r="K60" s="1">
        <v>7.8642569561056495E-3</v>
      </c>
      <c r="L60" s="1">
        <v>7.8639249543290199E-3</v>
      </c>
      <c r="M60" s="1">
        <v>7.8636995541731501E-3</v>
      </c>
      <c r="N60" s="1">
        <v>7.8635465254556797E-3</v>
      </c>
      <c r="O60" s="1">
        <v>7.8634426303697304E-3</v>
      </c>
      <c r="P60" s="1">
        <v>7.8633720929865807E-3</v>
      </c>
      <c r="Q60" s="1">
        <v>7.8633242029441906E-3</v>
      </c>
      <c r="R60" s="1">
        <v>7.8632916888136707E-3</v>
      </c>
      <c r="S60" s="1">
        <v>7.8632696138611295E-3</v>
      </c>
      <c r="T60" s="1">
        <v>7.8632546264060799E-3</v>
      </c>
      <c r="U60" s="1">
        <v>7.86324445089253E-3</v>
      </c>
      <c r="V60" s="1">
        <v>7.8632375423728102E-3</v>
      </c>
      <c r="W60" s="1">
        <v>7.8632328519302897E-3</v>
      </c>
      <c r="X60" s="1">
        <v>7.8632296674194108E-3</v>
      </c>
      <c r="Y60" s="1">
        <v>7.86322750533959E-3</v>
      </c>
      <c r="Z60" s="1">
        <v>7.8632260374251004E-3</v>
      </c>
      <c r="AA60" s="1">
        <v>7.8632250408045695E-3</v>
      </c>
      <c r="AB60" s="1">
        <v>7.8632243641626309E-3</v>
      </c>
      <c r="AC60" s="1">
        <v>7.8632239047657596E-3</v>
      </c>
      <c r="AD60" s="1">
        <v>7.8632235928644996E-3</v>
      </c>
      <c r="AE60" s="1">
        <v>7.8632233811033701E-3</v>
      </c>
      <c r="AF60" s="1">
        <v>7.8632232373310202E-3</v>
      </c>
      <c r="AG60" s="1">
        <v>7.8632231397187304E-3</v>
      </c>
      <c r="AH60" s="1">
        <v>7.8632230734461891E-3</v>
      </c>
    </row>
    <row r="61" spans="1:34" x14ac:dyDescent="0.25">
      <c r="A61" s="2">
        <v>59</v>
      </c>
      <c r="B61" s="1">
        <v>8.5271600619157596E-3</v>
      </c>
      <c r="C61" s="1">
        <v>8.5146319330189103E-3</v>
      </c>
      <c r="D61" s="1">
        <v>8.5061365769296699E-3</v>
      </c>
      <c r="E61" s="1">
        <v>8.5003735807179393E-3</v>
      </c>
      <c r="F61" s="1">
        <v>8.4964630884537002E-3</v>
      </c>
      <c r="G61" s="1">
        <v>8.4938091336526408E-3</v>
      </c>
      <c r="H61" s="1">
        <v>8.4920077374406391E-3</v>
      </c>
      <c r="I61" s="1">
        <v>8.4907849206859905E-3</v>
      </c>
      <c r="J61" s="1">
        <v>8.4899548057311303E-3</v>
      </c>
      <c r="K61" s="1">
        <v>8.4893912564765299E-3</v>
      </c>
      <c r="L61" s="1">
        <v>8.4890086635670704E-3</v>
      </c>
      <c r="M61" s="1">
        <v>8.4887489170748405E-3</v>
      </c>
      <c r="N61" s="1">
        <v>8.4885725702199995E-3</v>
      </c>
      <c r="O61" s="1">
        <v>8.4884528439887908E-3</v>
      </c>
      <c r="P61" s="1">
        <v>8.4883715584429097E-3</v>
      </c>
      <c r="Q61" s="1">
        <v>8.4883163711634603E-3</v>
      </c>
      <c r="R61" s="1">
        <v>8.4882789027106408E-3</v>
      </c>
      <c r="S61" s="1">
        <v>8.4882534641055798E-3</v>
      </c>
      <c r="T61" s="1">
        <v>8.4882361929522598E-3</v>
      </c>
      <c r="U61" s="1">
        <v>8.4882244669563997E-3</v>
      </c>
      <c r="V61" s="1">
        <v>8.4882165057594203E-3</v>
      </c>
      <c r="W61" s="1">
        <v>8.4882111006167205E-3</v>
      </c>
      <c r="X61" s="1">
        <v>8.4882074308701896E-3</v>
      </c>
      <c r="Y61" s="1">
        <v>8.4882049393463603E-3</v>
      </c>
      <c r="Z61" s="1">
        <v>8.48820324776039E-3</v>
      </c>
      <c r="AA61" s="1">
        <v>8.4882020992811807E-3</v>
      </c>
      <c r="AB61" s="1">
        <v>8.4882013195368491E-3</v>
      </c>
      <c r="AC61" s="1">
        <v>8.4882007901400398E-3</v>
      </c>
      <c r="AD61" s="1">
        <v>8.4882004307132494E-3</v>
      </c>
      <c r="AE61" s="1">
        <v>8.4882001866853091E-3</v>
      </c>
      <c r="AF61" s="1">
        <v>8.4882000210058407E-3</v>
      </c>
      <c r="AG61" s="1">
        <v>8.4881999085200093E-3</v>
      </c>
      <c r="AH61" s="1">
        <v>8.4881998321492905E-3</v>
      </c>
    </row>
    <row r="62" spans="1:34" x14ac:dyDescent="0.25">
      <c r="A62" s="2">
        <v>60</v>
      </c>
      <c r="B62" s="1">
        <v>8.9978075846693303E-3</v>
      </c>
      <c r="C62" s="1">
        <v>8.9827019198501206E-3</v>
      </c>
      <c r="D62" s="1">
        <v>8.9724605242346607E-3</v>
      </c>
      <c r="E62" s="1">
        <v>8.9655138930855999E-3</v>
      </c>
      <c r="F62" s="1">
        <v>8.9608006236259197E-3</v>
      </c>
      <c r="G62" s="1">
        <v>8.9576020190657007E-3</v>
      </c>
      <c r="H62" s="1">
        <v>8.95543101762971E-3</v>
      </c>
      <c r="I62" s="1">
        <v>8.9539573441375798E-3</v>
      </c>
      <c r="J62" s="1">
        <v>8.9529569510599007E-3</v>
      </c>
      <c r="K62" s="1">
        <v>8.9522778111371208E-3</v>
      </c>
      <c r="L62" s="1">
        <v>8.9518167475087004E-3</v>
      </c>
      <c r="M62" s="1">
        <v>8.9515037280716095E-3</v>
      </c>
      <c r="N62" s="1">
        <v>8.9512912139716704E-3</v>
      </c>
      <c r="O62" s="1">
        <v>8.9511469332624102E-3</v>
      </c>
      <c r="P62" s="1">
        <v>8.9510489771471406E-3</v>
      </c>
      <c r="Q62" s="1">
        <v>8.9509824717767094E-3</v>
      </c>
      <c r="R62" s="1">
        <v>8.9509373191359407E-3</v>
      </c>
      <c r="S62" s="1">
        <v>8.9509066634908593E-3</v>
      </c>
      <c r="T62" s="1">
        <v>8.9508858503151104E-3</v>
      </c>
      <c r="U62" s="1">
        <v>8.9508717195185897E-3</v>
      </c>
      <c r="V62" s="1">
        <v>8.9508621256182107E-3</v>
      </c>
      <c r="W62" s="1">
        <v>8.9508556119752298E-3</v>
      </c>
      <c r="X62" s="1">
        <v>8.9508511896281805E-3</v>
      </c>
      <c r="Y62" s="1">
        <v>8.9508481871367392E-3</v>
      </c>
      <c r="Z62" s="1">
        <v>8.9508461486363898E-3</v>
      </c>
      <c r="AA62" s="1">
        <v>8.9508447646244396E-3</v>
      </c>
      <c r="AB62" s="1">
        <v>8.9508438249683697E-3</v>
      </c>
      <c r="AC62" s="1">
        <v>8.9508431870016503E-3</v>
      </c>
      <c r="AD62" s="1">
        <v>8.9508427538628199E-3</v>
      </c>
      <c r="AE62" s="1">
        <v>8.9508424597890702E-3</v>
      </c>
      <c r="AF62" s="1">
        <v>8.9508422601316893E-3</v>
      </c>
      <c r="AG62" s="1">
        <v>8.9508421245770194E-3</v>
      </c>
      <c r="AH62" s="1">
        <v>8.9508420325440097E-3</v>
      </c>
    </row>
    <row r="63" spans="1:34" x14ac:dyDescent="0.25">
      <c r="A63" s="2">
        <v>61</v>
      </c>
      <c r="B63" s="1">
        <v>9.4192682132583205E-3</v>
      </c>
      <c r="C63" s="1">
        <v>9.4052275997207405E-3</v>
      </c>
      <c r="D63" s="1">
        <v>9.3957067893563808E-3</v>
      </c>
      <c r="E63" s="1">
        <v>9.3892482317329308E-3</v>
      </c>
      <c r="F63" s="1">
        <v>9.3848658000224294E-3</v>
      </c>
      <c r="G63" s="1">
        <v>9.3818915677145107E-3</v>
      </c>
      <c r="H63" s="1">
        <v>9.3798727876546507E-3</v>
      </c>
      <c r="I63" s="1">
        <v>9.3785024106788906E-3</v>
      </c>
      <c r="J63" s="1">
        <v>9.3775721253511503E-3</v>
      </c>
      <c r="K63" s="1">
        <v>9.3769405730653298E-3</v>
      </c>
      <c r="L63" s="1">
        <v>9.3765118133163298E-3</v>
      </c>
      <c r="M63" s="1">
        <v>9.3762207238090901E-3</v>
      </c>
      <c r="N63" s="1">
        <v>9.3760230976541493E-3</v>
      </c>
      <c r="O63" s="1">
        <v>9.3758889244139592E-3</v>
      </c>
      <c r="P63" s="1">
        <v>9.3757978303977002E-3</v>
      </c>
      <c r="Q63" s="1">
        <v>9.3757359838503498E-3</v>
      </c>
      <c r="R63" s="1">
        <v>9.3756939942055105E-3</v>
      </c>
      <c r="S63" s="1">
        <v>9.3756654860111394E-3</v>
      </c>
      <c r="T63" s="1">
        <v>9.3756461308076005E-3</v>
      </c>
      <c r="U63" s="1">
        <v>9.3756329898767796E-3</v>
      </c>
      <c r="V63" s="1">
        <v>9.3756240680301101E-3</v>
      </c>
      <c r="W63" s="1">
        <v>9.3756180106678803E-3</v>
      </c>
      <c r="X63" s="1">
        <v>9.3756138981060094E-3</v>
      </c>
      <c r="Y63" s="1">
        <v>9.3756111059388105E-3</v>
      </c>
      <c r="Z63" s="1">
        <v>9.3756092102351505E-3</v>
      </c>
      <c r="AA63" s="1">
        <v>9.3756079231730304E-3</v>
      </c>
      <c r="AB63" s="1">
        <v>9.3756070493397192E-3</v>
      </c>
      <c r="AC63" s="1">
        <v>9.3756064560624602E-3</v>
      </c>
      <c r="AD63" s="1">
        <v>9.3756060532649201E-3</v>
      </c>
      <c r="AE63" s="1">
        <v>9.3756057797909995E-3</v>
      </c>
      <c r="AF63" s="1">
        <v>9.3756055941195699E-3</v>
      </c>
      <c r="AG63" s="1">
        <v>9.3756054680604797E-3</v>
      </c>
      <c r="AH63" s="1">
        <v>9.3756053824743703E-3</v>
      </c>
    </row>
    <row r="64" spans="1:34" x14ac:dyDescent="0.25">
      <c r="A64" s="2">
        <v>62</v>
      </c>
      <c r="B64" s="1">
        <v>1.0060551059013399E-2</v>
      </c>
      <c r="C64" s="1">
        <v>1.0046743569766099E-2</v>
      </c>
      <c r="D64" s="1">
        <v>1.0037379909353E-2</v>
      </c>
      <c r="E64" s="1">
        <v>1.0031027528197499E-2</v>
      </c>
      <c r="F64" s="1">
        <v>1.00267169449207E-2</v>
      </c>
      <c r="G64" s="1">
        <v>1.00237913832252E-2</v>
      </c>
      <c r="H64" s="1">
        <v>1.00218055967851E-2</v>
      </c>
      <c r="I64" s="1">
        <v>1.0020457597050199E-2</v>
      </c>
      <c r="J64" s="1">
        <v>1.0019542493695801E-2</v>
      </c>
      <c r="K64" s="1">
        <v>1.00189212440502E-2</v>
      </c>
      <c r="L64" s="1">
        <v>1.00184994768555E-2</v>
      </c>
      <c r="M64" s="1">
        <v>1.0018213133795801E-2</v>
      </c>
      <c r="N64" s="1">
        <v>1.0018018729691901E-2</v>
      </c>
      <c r="O64" s="1">
        <v>1.00178867437961E-2</v>
      </c>
      <c r="P64" s="1">
        <v>1.0017797134744599E-2</v>
      </c>
      <c r="Q64" s="1">
        <v>1.00177362963464E-2</v>
      </c>
      <c r="R64" s="1">
        <v>1.0017694991149E-2</v>
      </c>
      <c r="S64" s="1">
        <v>1.0017666947640801E-2</v>
      </c>
      <c r="T64" s="1">
        <v>1.0017647907925E-2</v>
      </c>
      <c r="U64" s="1">
        <v>1.00176349811881E-2</v>
      </c>
      <c r="V64" s="1">
        <v>1.0017626204764599E-2</v>
      </c>
      <c r="W64" s="1">
        <v>1.0017620246134999E-2</v>
      </c>
      <c r="X64" s="1">
        <v>1.0017616200606001E-2</v>
      </c>
      <c r="Y64" s="1">
        <v>1.0017613453949799E-2</v>
      </c>
      <c r="Z64" s="1">
        <v>1.0017611589145201E-2</v>
      </c>
      <c r="AA64" s="1">
        <v>1.00176103230616E-2</v>
      </c>
      <c r="AB64" s="1">
        <v>1.00176094634713E-2</v>
      </c>
      <c r="AC64" s="1">
        <v>1.00176088798642E-2</v>
      </c>
      <c r="AD64" s="1">
        <v>1.0017608483632E-2</v>
      </c>
      <c r="AE64" s="1">
        <v>1.00176082146156E-2</v>
      </c>
      <c r="AF64" s="1">
        <v>1.00176080319705E-2</v>
      </c>
      <c r="AG64" s="1">
        <v>1.0017607907966099E-2</v>
      </c>
      <c r="AH64" s="1">
        <v>1.0017607823774999E-2</v>
      </c>
    </row>
    <row r="65" spans="1:34" x14ac:dyDescent="0.25">
      <c r="A65" s="2">
        <v>63</v>
      </c>
      <c r="B65" s="1">
        <v>1.0780974684175401E-2</v>
      </c>
      <c r="C65" s="1">
        <v>1.07625386707567E-2</v>
      </c>
      <c r="D65" s="1">
        <v>1.07500396635403E-2</v>
      </c>
      <c r="E65" s="1">
        <v>1.0741561861237699E-2</v>
      </c>
      <c r="F65" s="1">
        <v>1.0735809762432999E-2</v>
      </c>
      <c r="G65" s="1">
        <v>1.07319061990032E-2</v>
      </c>
      <c r="H65" s="1">
        <v>1.0729256732063101E-2</v>
      </c>
      <c r="I65" s="1">
        <v>1.07274582831412E-2</v>
      </c>
      <c r="J65" s="1">
        <v>1.07262374214783E-2</v>
      </c>
      <c r="K65" s="1">
        <v>1.07254086127401E-2</v>
      </c>
      <c r="L65" s="1">
        <v>1.0724845940568601E-2</v>
      </c>
      <c r="M65" s="1">
        <v>1.0724463938646799E-2</v>
      </c>
      <c r="N65" s="1">
        <v>1.0724204591325399E-2</v>
      </c>
      <c r="O65" s="1">
        <v>1.07240285145269E-2</v>
      </c>
      <c r="P65" s="1">
        <v>1.07239089712066E-2</v>
      </c>
      <c r="Q65" s="1">
        <v>1.07238278096426E-2</v>
      </c>
      <c r="R65" s="1">
        <v>1.07237727064454E-2</v>
      </c>
      <c r="S65" s="1">
        <v>1.0723735295036001E-2</v>
      </c>
      <c r="T65" s="1">
        <v>1.072370989514E-2</v>
      </c>
      <c r="U65" s="1">
        <v>1.0723692650258399E-2</v>
      </c>
      <c r="V65" s="1">
        <v>1.07236809420952E-2</v>
      </c>
      <c r="W65" s="1">
        <v>1.0723672993003501E-2</v>
      </c>
      <c r="X65" s="1">
        <v>1.0723667596078601E-2</v>
      </c>
      <c r="Y65" s="1">
        <v>1.0723663931910999E-2</v>
      </c>
      <c r="Z65" s="1">
        <v>1.07236614441748E-2</v>
      </c>
      <c r="AA65" s="1">
        <v>1.0723659755160301E-2</v>
      </c>
      <c r="AB65" s="1">
        <v>1.0723658608426801E-2</v>
      </c>
      <c r="AC65" s="1">
        <v>1.0723657829867801E-2</v>
      </c>
      <c r="AD65" s="1">
        <v>1.07236573012757E-2</v>
      </c>
      <c r="AE65" s="1">
        <v>1.07236569423952E-2</v>
      </c>
      <c r="AF65" s="1">
        <v>1.0723656698738201E-2</v>
      </c>
      <c r="AG65" s="1">
        <v>1.07236565333106E-2</v>
      </c>
      <c r="AH65" s="1">
        <v>1.0723656420995801E-2</v>
      </c>
    </row>
    <row r="66" spans="1:34" x14ac:dyDescent="0.25">
      <c r="A66" s="2">
        <v>64</v>
      </c>
      <c r="B66" s="1">
        <v>1.1389281623637299E-2</v>
      </c>
      <c r="C66" s="1">
        <v>1.1363229181576499E-2</v>
      </c>
      <c r="D66" s="1">
        <v>1.13455750083261E-2</v>
      </c>
      <c r="E66" s="1">
        <v>1.13336044922618E-2</v>
      </c>
      <c r="F66" s="1">
        <v>1.1325484430555199E-2</v>
      </c>
      <c r="G66" s="1">
        <v>1.1319974721707701E-2</v>
      </c>
      <c r="H66" s="1">
        <v>1.13162354985292E-2</v>
      </c>
      <c r="I66" s="1">
        <v>1.1313697503545699E-2</v>
      </c>
      <c r="J66" s="1">
        <v>1.13119746887889E-2</v>
      </c>
      <c r="K66" s="1">
        <v>1.1310805155701801E-2</v>
      </c>
      <c r="L66" s="1">
        <v>1.1310011185566401E-2</v>
      </c>
      <c r="M66" s="1">
        <v>1.1309472161873699E-2</v>
      </c>
      <c r="N66" s="1">
        <v>1.13091062135913E-2</v>
      </c>
      <c r="O66" s="1">
        <v>1.1308857764668501E-2</v>
      </c>
      <c r="P66" s="1">
        <v>1.13086890867282E-2</v>
      </c>
      <c r="Q66" s="1">
        <v>1.13085745665495E-2</v>
      </c>
      <c r="R66" s="1">
        <v>1.13084968152813E-2</v>
      </c>
      <c r="S66" s="1">
        <v>1.13084440274131E-2</v>
      </c>
      <c r="T66" s="1">
        <v>1.1308408187944E-2</v>
      </c>
      <c r="U66" s="1">
        <v>1.1308383855286E-2</v>
      </c>
      <c r="V66" s="1">
        <v>1.13083673349868E-2</v>
      </c>
      <c r="W66" s="1">
        <v>1.1308356118767E-2</v>
      </c>
      <c r="X66" s="1">
        <v>1.1308348503672599E-2</v>
      </c>
      <c r="Y66" s="1">
        <v>1.1308343333510299E-2</v>
      </c>
      <c r="Z66" s="1">
        <v>1.13083398232998E-2</v>
      </c>
      <c r="AA66" s="1">
        <v>1.1308337440090599E-2</v>
      </c>
      <c r="AB66" s="1">
        <v>1.1308335822043301E-2</v>
      </c>
      <c r="AC66" s="1">
        <v>1.1308334723492E-2</v>
      </c>
      <c r="AD66" s="1">
        <v>1.13083339776456E-2</v>
      </c>
      <c r="AE66" s="1">
        <v>1.1308333471263299E-2</v>
      </c>
      <c r="AF66" s="1">
        <v>1.1308333127461901E-2</v>
      </c>
      <c r="AG66" s="1">
        <v>1.1308332894042599E-2</v>
      </c>
      <c r="AH66" s="1">
        <v>1.1308332735565699E-2</v>
      </c>
    </row>
    <row r="67" spans="1:34" x14ac:dyDescent="0.25">
      <c r="A67" s="2">
        <v>65</v>
      </c>
      <c r="B67" s="1">
        <v>1.19738476263332E-2</v>
      </c>
      <c r="C67" s="1">
        <v>1.19442395041927E-2</v>
      </c>
      <c r="D67" s="1">
        <v>1.1924178958514E-2</v>
      </c>
      <c r="E67" s="1">
        <v>1.1910578213542401E-2</v>
      </c>
      <c r="F67" s="1">
        <v>1.19013529615588E-2</v>
      </c>
      <c r="G67" s="1">
        <v>1.18950936500165E-2</v>
      </c>
      <c r="H67" s="1">
        <v>1.18908458402937E-2</v>
      </c>
      <c r="I67" s="1">
        <v>1.1887962706799199E-2</v>
      </c>
      <c r="J67" s="1">
        <v>1.1886005638392001E-2</v>
      </c>
      <c r="K67" s="1">
        <v>1.18846770958184E-2</v>
      </c>
      <c r="L67" s="1">
        <v>1.1883775183949201E-2</v>
      </c>
      <c r="M67" s="1">
        <v>1.18831628818697E-2</v>
      </c>
      <c r="N67" s="1">
        <v>1.18827471855336E-2</v>
      </c>
      <c r="O67" s="1">
        <v>1.18824649623711E-2</v>
      </c>
      <c r="P67" s="1">
        <v>1.18822733545722E-2</v>
      </c>
      <c r="Q67" s="1">
        <v>1.1882143266800999E-2</v>
      </c>
      <c r="R67" s="1">
        <v>1.18820549462763E-2</v>
      </c>
      <c r="S67" s="1">
        <v>1.1881994982623399E-2</v>
      </c>
      <c r="T67" s="1">
        <v>1.18819542712842E-2</v>
      </c>
      <c r="U67" s="1">
        <v>1.18819266309506E-2</v>
      </c>
      <c r="V67" s="1">
        <v>1.18819078649566E-2</v>
      </c>
      <c r="W67" s="1">
        <v>1.18818951240557E-2</v>
      </c>
      <c r="X67" s="1">
        <v>1.18818864738013E-2</v>
      </c>
      <c r="Y67" s="1">
        <v>1.18818806008317E-2</v>
      </c>
      <c r="Z67" s="1">
        <v>1.18818766134601E-2</v>
      </c>
      <c r="AA67" s="1">
        <v>1.1881873906288899E-2</v>
      </c>
      <c r="AB67" s="1">
        <v>1.1881872068292E-2</v>
      </c>
      <c r="AC67" s="1">
        <v>1.1881870820409E-2</v>
      </c>
      <c r="AD67" s="1">
        <v>1.18818699731758E-2</v>
      </c>
      <c r="AE67" s="1">
        <v>1.18818693979584E-2</v>
      </c>
      <c r="AF67" s="1">
        <v>1.18818690074223E-2</v>
      </c>
      <c r="AG67" s="1">
        <v>1.1881868742273099E-2</v>
      </c>
      <c r="AH67" s="1">
        <v>1.18818685622536E-2</v>
      </c>
    </row>
    <row r="68" spans="1:34" x14ac:dyDescent="0.25">
      <c r="A68" s="2">
        <v>66</v>
      </c>
      <c r="B68" s="1">
        <v>1.31454848931286E-2</v>
      </c>
      <c r="C68" s="1">
        <v>1.3119225038892599E-2</v>
      </c>
      <c r="D68" s="1">
        <v>1.3101425973433301E-2</v>
      </c>
      <c r="E68" s="1">
        <v>1.30893552133664E-2</v>
      </c>
      <c r="F68" s="1">
        <v>1.30811662315478E-2</v>
      </c>
      <c r="G68" s="1">
        <v>1.3075609334102799E-2</v>
      </c>
      <c r="H68" s="1">
        <v>1.3071837890403599E-2</v>
      </c>
      <c r="I68" s="1">
        <v>1.3069277935683099E-2</v>
      </c>
      <c r="J68" s="1">
        <v>1.3067540172934201E-2</v>
      </c>
      <c r="K68" s="1">
        <v>1.3066360473264701E-2</v>
      </c>
      <c r="L68" s="1">
        <v>1.30655595924416E-2</v>
      </c>
      <c r="M68" s="1">
        <v>1.30650158730404E-2</v>
      </c>
      <c r="N68" s="1">
        <v>1.30646467349233E-2</v>
      </c>
      <c r="O68" s="1">
        <v>1.30643961195002E-2</v>
      </c>
      <c r="P68" s="1">
        <v>1.3064225970272601E-2</v>
      </c>
      <c r="Q68" s="1">
        <v>1.30641104510121E-2</v>
      </c>
      <c r="R68" s="1">
        <v>1.30640320213521E-2</v>
      </c>
      <c r="S68" s="1">
        <v>1.3063978772862601E-2</v>
      </c>
      <c r="T68" s="1">
        <v>1.3063942620644199E-2</v>
      </c>
      <c r="U68" s="1">
        <v>1.3063918075641501E-2</v>
      </c>
      <c r="V68" s="1">
        <v>1.30639014111702E-2</v>
      </c>
      <c r="W68" s="1">
        <v>1.3063890097065E-2</v>
      </c>
      <c r="X68" s="1">
        <v>1.30638824155119E-2</v>
      </c>
      <c r="Y68" s="1">
        <v>1.3063877200228001E-2</v>
      </c>
      <c r="Z68" s="1">
        <v>1.30638736593828E-2</v>
      </c>
      <c r="AA68" s="1">
        <v>1.30638712553744E-2</v>
      </c>
      <c r="AB68" s="1">
        <v>1.3063869623205699E-2</v>
      </c>
      <c r="AC68" s="1">
        <v>1.30638685150669E-2</v>
      </c>
      <c r="AD68" s="1">
        <v>1.30638677627112E-2</v>
      </c>
      <c r="AE68" s="1">
        <v>1.3063867251909399E-2</v>
      </c>
      <c r="AF68" s="1">
        <v>1.30638669051075E-2</v>
      </c>
      <c r="AG68" s="1">
        <v>1.3063866669651101E-2</v>
      </c>
      <c r="AH68" s="1">
        <v>1.30638665097911E-2</v>
      </c>
    </row>
    <row r="69" spans="1:34" x14ac:dyDescent="0.25">
      <c r="A69" s="2">
        <v>67</v>
      </c>
      <c r="B69" s="1">
        <v>1.47408662198447E-2</v>
      </c>
      <c r="C69" s="1">
        <v>1.4720253121973901E-2</v>
      </c>
      <c r="D69" s="1">
        <v>1.4706274447372899E-2</v>
      </c>
      <c r="E69" s="1">
        <v>1.4696791325922101E-2</v>
      </c>
      <c r="F69" s="1">
        <v>1.46903563486589E-2</v>
      </c>
      <c r="G69" s="1">
        <v>1.46859890019868E-2</v>
      </c>
      <c r="H69" s="1">
        <v>1.46830245856328E-2</v>
      </c>
      <c r="I69" s="1">
        <v>1.46810122737996E-2</v>
      </c>
      <c r="J69" s="1">
        <v>1.4679646197940601E-2</v>
      </c>
      <c r="K69" s="1">
        <v>1.4678718791138599E-2</v>
      </c>
      <c r="L69" s="1">
        <v>1.46780891739892E-2</v>
      </c>
      <c r="M69" s="1">
        <v>1.4677661719225601E-2</v>
      </c>
      <c r="N69" s="1">
        <v>1.46773715116418E-2</v>
      </c>
      <c r="O69" s="1">
        <v>1.4677174482376799E-2</v>
      </c>
      <c r="P69" s="1">
        <v>1.4677040713520301E-2</v>
      </c>
      <c r="Q69" s="1">
        <v>1.46769498936555E-2</v>
      </c>
      <c r="R69" s="1">
        <v>1.4676888233055499E-2</v>
      </c>
      <c r="S69" s="1">
        <v>1.4676846369572101E-2</v>
      </c>
      <c r="T69" s="1">
        <v>1.4676817946994301E-2</v>
      </c>
      <c r="U69" s="1">
        <v>1.46767986499009E-2</v>
      </c>
      <c r="V69" s="1">
        <v>1.46767855484149E-2</v>
      </c>
      <c r="W69" s="1">
        <v>1.46767766533449E-2</v>
      </c>
      <c r="X69" s="1">
        <v>1.46767706141606E-2</v>
      </c>
      <c r="Y69" s="1">
        <v>1.4676766513939499E-2</v>
      </c>
      <c r="Z69" s="1">
        <v>1.46767637301506E-2</v>
      </c>
      <c r="AA69" s="1">
        <v>1.46767618401351E-2</v>
      </c>
      <c r="AB69" s="1">
        <v>1.46767605569347E-2</v>
      </c>
      <c r="AC69" s="1">
        <v>1.46767596857233E-2</v>
      </c>
      <c r="AD69" s="1">
        <v>1.46767590942261E-2</v>
      </c>
      <c r="AE69" s="1">
        <v>1.46767586926371E-2</v>
      </c>
      <c r="AF69" s="1">
        <v>1.46767584199837E-2</v>
      </c>
      <c r="AG69" s="1">
        <v>1.46767582348694E-2</v>
      </c>
      <c r="AH69" s="1">
        <v>1.46767581091885E-2</v>
      </c>
    </row>
    <row r="70" spans="1:34" x14ac:dyDescent="0.25">
      <c r="A70" s="2">
        <v>68</v>
      </c>
      <c r="B70" s="1">
        <v>1.63330852064601E-2</v>
      </c>
      <c r="C70" s="1">
        <v>1.6311907262653799E-2</v>
      </c>
      <c r="D70" s="1">
        <v>1.6297544308578101E-2</v>
      </c>
      <c r="E70" s="1">
        <v>1.6287799924819699E-2</v>
      </c>
      <c r="F70" s="1">
        <v>1.6281187400937099E-2</v>
      </c>
      <c r="G70" s="1">
        <v>1.6276699434906498E-2</v>
      </c>
      <c r="H70" s="1">
        <v>1.62736530904426E-2</v>
      </c>
      <c r="I70" s="1">
        <v>1.6271585138397601E-2</v>
      </c>
      <c r="J70" s="1">
        <v>1.6270181278890801E-2</v>
      </c>
      <c r="K70" s="1">
        <v>1.6269228215946001E-2</v>
      </c>
      <c r="L70" s="1">
        <v>1.6268581178317101E-2</v>
      </c>
      <c r="M70" s="1">
        <v>1.6268141895422601E-2</v>
      </c>
      <c r="N70" s="1">
        <v>1.6267843656952E-2</v>
      </c>
      <c r="O70" s="1">
        <v>1.62676411750695E-2</v>
      </c>
      <c r="P70" s="1">
        <v>1.62675037041606E-2</v>
      </c>
      <c r="Q70" s="1">
        <v>1.6267410370804199E-2</v>
      </c>
      <c r="R70" s="1">
        <v>1.6267347003687899E-2</v>
      </c>
      <c r="S70" s="1">
        <v>1.62673039815814E-2</v>
      </c>
      <c r="T70" s="1">
        <v>1.62672747723689E-2</v>
      </c>
      <c r="U70" s="1">
        <v>1.6267254941198999E-2</v>
      </c>
      <c r="V70" s="1">
        <v>1.6267241477108299E-2</v>
      </c>
      <c r="W70" s="1">
        <v>1.6267232335852401E-2</v>
      </c>
      <c r="X70" s="1">
        <v>1.6267226129523402E-2</v>
      </c>
      <c r="Y70" s="1">
        <v>1.6267221915821601E-2</v>
      </c>
      <c r="Z70" s="1">
        <v>1.62672190549864E-2</v>
      </c>
      <c r="AA70" s="1">
        <v>1.6267217112661402E-2</v>
      </c>
      <c r="AB70" s="1">
        <v>1.6267215793946199E-2</v>
      </c>
      <c r="AC70" s="1">
        <v>1.6267214898622501E-2</v>
      </c>
      <c r="AD70" s="1">
        <v>1.62672142907546E-2</v>
      </c>
      <c r="AE70" s="1">
        <v>1.6267213878050898E-2</v>
      </c>
      <c r="AF70" s="1">
        <v>1.6267213597851299E-2</v>
      </c>
      <c r="AG70" s="1">
        <v>1.6267213407613602E-2</v>
      </c>
      <c r="AH70" s="1">
        <v>1.62672132784543E-2</v>
      </c>
    </row>
    <row r="71" spans="1:34" x14ac:dyDescent="0.25">
      <c r="A71" s="2">
        <v>69</v>
      </c>
      <c r="B71" s="1">
        <v>1.7689252582643901E-2</v>
      </c>
      <c r="C71" s="1">
        <v>1.7663116381132299E-2</v>
      </c>
      <c r="D71" s="1">
        <v>1.76453933778302E-2</v>
      </c>
      <c r="E71" s="1">
        <v>1.7633370630931299E-2</v>
      </c>
      <c r="F71" s="1">
        <v>1.7625212577320099E-2</v>
      </c>
      <c r="G71" s="1">
        <v>1.7619675909375399E-2</v>
      </c>
      <c r="H71" s="1">
        <v>1.7615917846114899E-2</v>
      </c>
      <c r="I71" s="1">
        <v>1.7613366812719199E-2</v>
      </c>
      <c r="J71" s="1">
        <v>1.7611635031807699E-2</v>
      </c>
      <c r="K71" s="1">
        <v>1.7610459358781801E-2</v>
      </c>
      <c r="L71" s="1">
        <v>1.7609661195826899E-2</v>
      </c>
      <c r="M71" s="1">
        <v>1.7609119314326498E-2</v>
      </c>
      <c r="N71" s="1">
        <v>1.76087514206353E-2</v>
      </c>
      <c r="O71" s="1">
        <v>1.7608501648534801E-2</v>
      </c>
      <c r="P71" s="1">
        <v>1.7608332071149001E-2</v>
      </c>
      <c r="Q71" s="1">
        <v>1.7608216939800601E-2</v>
      </c>
      <c r="R71" s="1">
        <v>1.7608138773355101E-2</v>
      </c>
      <c r="S71" s="1">
        <v>1.7608085703500899E-2</v>
      </c>
      <c r="T71" s="1">
        <v>1.76080496725321E-2</v>
      </c>
      <c r="U71" s="1">
        <v>1.76080252098351E-2</v>
      </c>
      <c r="V71" s="1">
        <v>1.7608008601237301E-2</v>
      </c>
      <c r="W71" s="1">
        <v>1.76079973250634E-2</v>
      </c>
      <c r="X71" s="1">
        <v>1.76079896692619E-2</v>
      </c>
      <c r="Y71" s="1">
        <v>1.7607984471460902E-2</v>
      </c>
      <c r="Z71" s="1">
        <v>1.76079809424852E-2</v>
      </c>
      <c r="AA71" s="1">
        <v>1.7607978546535199E-2</v>
      </c>
      <c r="AB71" s="1">
        <v>1.76079769198377E-2</v>
      </c>
      <c r="AC71" s="1">
        <v>1.7607975815413401E-2</v>
      </c>
      <c r="AD71" s="1">
        <v>1.7607975065579599E-2</v>
      </c>
      <c r="AE71" s="1">
        <v>1.7607974556490099E-2</v>
      </c>
      <c r="AF71" s="1">
        <v>1.76079742108507E-2</v>
      </c>
      <c r="AG71" s="1">
        <v>1.76079739761834E-2</v>
      </c>
      <c r="AH71" s="1">
        <v>1.7607973816859301E-2</v>
      </c>
    </row>
    <row r="72" spans="1:34" x14ac:dyDescent="0.25">
      <c r="A72" s="2">
        <v>70</v>
      </c>
      <c r="B72" s="1">
        <v>1.94228554032767E-2</v>
      </c>
      <c r="C72" s="1">
        <v>1.9393009428900598E-2</v>
      </c>
      <c r="D72" s="1">
        <v>1.9372771796309099E-2</v>
      </c>
      <c r="E72" s="1">
        <v>1.9359043649957001E-2</v>
      </c>
      <c r="F72" s="1">
        <v>1.93497286015854E-2</v>
      </c>
      <c r="G72" s="1">
        <v>1.93434068053327E-2</v>
      </c>
      <c r="H72" s="1">
        <v>1.93391158730481E-2</v>
      </c>
      <c r="I72" s="1">
        <v>1.9336203139871399E-2</v>
      </c>
      <c r="J72" s="1">
        <v>1.9334225826700802E-2</v>
      </c>
      <c r="K72" s="1">
        <v>1.9332883470805001E-2</v>
      </c>
      <c r="L72" s="1">
        <v>1.9331972149037799E-2</v>
      </c>
      <c r="M72" s="1">
        <v>1.9331353443703399E-2</v>
      </c>
      <c r="N72" s="1">
        <v>1.9330933393266199E-2</v>
      </c>
      <c r="O72" s="1">
        <v>1.9330648210858298E-2</v>
      </c>
      <c r="P72" s="1">
        <v>1.9330454592496799E-2</v>
      </c>
      <c r="Q72" s="1">
        <v>1.9330323139025399E-2</v>
      </c>
      <c r="R72" s="1">
        <v>1.9330233890974598E-2</v>
      </c>
      <c r="S72" s="1">
        <v>1.9330173297451101E-2</v>
      </c>
      <c r="T72" s="1">
        <v>1.9330132158405601E-2</v>
      </c>
      <c r="U72" s="1">
        <v>1.93301042276568E-2</v>
      </c>
      <c r="V72" s="1">
        <v>1.9330085264475799E-2</v>
      </c>
      <c r="W72" s="1">
        <v>1.93300723896912E-2</v>
      </c>
      <c r="X72" s="1">
        <v>1.93300636485353E-2</v>
      </c>
      <c r="Y72" s="1">
        <v>1.9330057713847999E-2</v>
      </c>
      <c r="Z72" s="1">
        <v>1.9330053684573401E-2</v>
      </c>
      <c r="AA72" s="1">
        <v>1.9330050948952501E-2</v>
      </c>
      <c r="AB72" s="1">
        <v>1.9330049091639899E-2</v>
      </c>
      <c r="AC72" s="1">
        <v>1.93300478306427E-2</v>
      </c>
      <c r="AD72" s="1">
        <v>1.9330046974505799E-2</v>
      </c>
      <c r="AE72" s="1">
        <v>1.9330046393243299E-2</v>
      </c>
      <c r="AF72" s="1">
        <v>1.9330045998602999E-2</v>
      </c>
      <c r="AG72" s="1">
        <v>1.9330045730667302E-2</v>
      </c>
      <c r="AH72" s="1">
        <v>1.9330045548755899E-2</v>
      </c>
    </row>
    <row r="73" spans="1:34" x14ac:dyDescent="0.25">
      <c r="A73" s="2">
        <v>71</v>
      </c>
      <c r="B73" s="1">
        <v>2.1879642803579499E-2</v>
      </c>
      <c r="C73" s="1">
        <v>2.1853539904959401E-2</v>
      </c>
      <c r="D73" s="1">
        <v>2.18358352504214E-2</v>
      </c>
      <c r="E73" s="1">
        <v>2.1823823000337399E-2</v>
      </c>
      <c r="F73" s="1">
        <v>2.18156711706863E-2</v>
      </c>
      <c r="G73" s="1">
        <v>2.1810138312664401E-2</v>
      </c>
      <c r="H73" s="1">
        <v>2.18063826445688E-2</v>
      </c>
      <c r="I73" s="1">
        <v>2.1803833149085999E-2</v>
      </c>
      <c r="J73" s="1">
        <v>2.18021023716507E-2</v>
      </c>
      <c r="K73" s="1">
        <v>2.1800927361177901E-2</v>
      </c>
      <c r="L73" s="1">
        <v>2.1800129639416001E-2</v>
      </c>
      <c r="M73" s="1">
        <v>2.1799588053475798E-2</v>
      </c>
      <c r="N73" s="1">
        <v>2.1799220358615898E-2</v>
      </c>
      <c r="O73" s="1">
        <v>2.17989707206632E-2</v>
      </c>
      <c r="P73" s="1">
        <v>2.1798801233965399E-2</v>
      </c>
      <c r="Q73" s="1">
        <v>2.17986861640087E-2</v>
      </c>
      <c r="R73" s="1">
        <v>2.17986080391613E-2</v>
      </c>
      <c r="S73" s="1">
        <v>2.1798554997511502E-2</v>
      </c>
      <c r="T73" s="1">
        <v>2.17985189856739E-2</v>
      </c>
      <c r="U73" s="1">
        <v>2.1798494535957801E-2</v>
      </c>
      <c r="V73" s="1">
        <v>2.1798477936169399E-2</v>
      </c>
      <c r="W73" s="1">
        <v>2.1798466665974899E-2</v>
      </c>
      <c r="X73" s="1">
        <v>2.1798459014232101E-2</v>
      </c>
      <c r="Y73" s="1">
        <v>2.1798453819186402E-2</v>
      </c>
      <c r="Z73" s="1">
        <v>2.17984502920812E-2</v>
      </c>
      <c r="AA73" s="1">
        <v>2.17984478974011E-2</v>
      </c>
      <c r="AB73" s="1">
        <v>2.17984462715657E-2</v>
      </c>
      <c r="AC73" s="1">
        <v>2.1798445167726801E-2</v>
      </c>
      <c r="AD73" s="1">
        <v>2.1798444418290298E-2</v>
      </c>
      <c r="AE73" s="1">
        <v>2.17984439094706E-2</v>
      </c>
      <c r="AF73" s="1">
        <v>2.1798443564014301E-2</v>
      </c>
      <c r="AG73" s="1">
        <v>2.1798443329471499E-2</v>
      </c>
      <c r="AH73" s="1">
        <v>2.1798443170231802E-2</v>
      </c>
    </row>
    <row r="74" spans="1:34" x14ac:dyDescent="0.25">
      <c r="A74" s="2">
        <v>72</v>
      </c>
      <c r="B74" s="1">
        <v>2.4956890287099201E-2</v>
      </c>
      <c r="C74" s="1">
        <v>2.4936296157971199E-2</v>
      </c>
      <c r="D74" s="1">
        <v>2.4922323617032598E-2</v>
      </c>
      <c r="E74" s="1">
        <v>2.4912841555688101E-2</v>
      </c>
      <c r="F74" s="1">
        <v>2.4906405868758301E-2</v>
      </c>
      <c r="G74" s="1">
        <v>2.4902037381846698E-2</v>
      </c>
      <c r="H74" s="1">
        <v>2.4899071887988199E-2</v>
      </c>
      <c r="I74" s="1">
        <v>2.4897058704811501E-2</v>
      </c>
      <c r="J74" s="1">
        <v>2.4895691972944899E-2</v>
      </c>
      <c r="K74" s="1">
        <v>2.48947640910651E-2</v>
      </c>
      <c r="L74" s="1">
        <v>2.4894134137683301E-2</v>
      </c>
      <c r="M74" s="1">
        <v>2.4893706448331901E-2</v>
      </c>
      <c r="N74" s="1">
        <v>2.4893416078570499E-2</v>
      </c>
      <c r="O74" s="1">
        <v>2.4893218937857099E-2</v>
      </c>
      <c r="P74" s="1">
        <v>2.4893085092716601E-2</v>
      </c>
      <c r="Q74" s="1">
        <v>2.4892994220775001E-2</v>
      </c>
      <c r="R74" s="1">
        <v>2.4892932524686801E-2</v>
      </c>
      <c r="S74" s="1">
        <v>2.48928906370488E-2</v>
      </c>
      <c r="T74" s="1">
        <v>2.4892862198043701E-2</v>
      </c>
      <c r="U74" s="1">
        <v>2.48928428897843E-2</v>
      </c>
      <c r="V74" s="1">
        <v>2.4892829780711299E-2</v>
      </c>
      <c r="W74" s="1">
        <v>2.4892820880487599E-2</v>
      </c>
      <c r="X74" s="1">
        <v>2.4892814837802899E-2</v>
      </c>
      <c r="Y74" s="1">
        <v>2.4892810735204801E-2</v>
      </c>
      <c r="Z74" s="1">
        <v>2.4892807949801699E-2</v>
      </c>
      <c r="AA74" s="1">
        <v>2.4892806058690101E-2</v>
      </c>
      <c r="AB74" s="1">
        <v>2.4892804774745599E-2</v>
      </c>
      <c r="AC74" s="1">
        <v>2.48928039030289E-2</v>
      </c>
      <c r="AD74" s="1">
        <v>2.4892803311188601E-2</v>
      </c>
      <c r="AE74" s="1">
        <v>2.4892802909366699E-2</v>
      </c>
      <c r="AF74" s="1">
        <v>2.4892802636555099E-2</v>
      </c>
      <c r="AG74" s="1">
        <v>2.48928024513334E-2</v>
      </c>
      <c r="AH74" s="1">
        <v>2.4892802325579701E-2</v>
      </c>
    </row>
    <row r="75" spans="1:34" x14ac:dyDescent="0.25">
      <c r="A75" s="2">
        <v>73</v>
      </c>
      <c r="B75" s="1">
        <v>2.7714635676107699E-2</v>
      </c>
      <c r="C75" s="1">
        <v>2.76974312472732E-2</v>
      </c>
      <c r="D75" s="1">
        <v>2.76857565351455E-2</v>
      </c>
      <c r="E75" s="1">
        <v>2.7677832912824701E-2</v>
      </c>
      <c r="F75" s="1">
        <v>2.7672454551080701E-2</v>
      </c>
      <c r="G75" s="1">
        <v>2.7668803572488999E-2</v>
      </c>
      <c r="H75" s="1">
        <v>2.76663250606809E-2</v>
      </c>
      <c r="I75" s="1">
        <v>2.76646424334001E-2</v>
      </c>
      <c r="J75" s="1">
        <v>2.76635000938893E-2</v>
      </c>
      <c r="K75" s="1">
        <v>2.7662724544447102E-2</v>
      </c>
      <c r="L75" s="1">
        <v>2.7662198007868399E-2</v>
      </c>
      <c r="M75" s="1">
        <v>2.76618405286168E-2</v>
      </c>
      <c r="N75" s="1">
        <v>2.76615978255134E-2</v>
      </c>
      <c r="O75" s="1">
        <v>2.7661433046722899E-2</v>
      </c>
      <c r="P75" s="1">
        <v>2.7661321172944901E-2</v>
      </c>
      <c r="Q75" s="1">
        <v>2.76612452180117E-2</v>
      </c>
      <c r="R75" s="1">
        <v>2.7661193649555101E-2</v>
      </c>
      <c r="S75" s="1">
        <v>2.7661158637903499E-2</v>
      </c>
      <c r="T75" s="1">
        <v>2.7661134867241401E-2</v>
      </c>
      <c r="U75" s="1">
        <v>2.7661118728483602E-2</v>
      </c>
      <c r="V75" s="1">
        <v>2.76611077712977E-2</v>
      </c>
      <c r="W75" s="1">
        <v>2.7661100332067E-2</v>
      </c>
      <c r="X75" s="1">
        <v>2.76610952813032E-2</v>
      </c>
      <c r="Y75" s="1">
        <v>2.7661091852156001E-2</v>
      </c>
      <c r="Z75" s="1">
        <v>2.76610895239831E-2</v>
      </c>
      <c r="AA75" s="1">
        <v>2.7661087943301799E-2</v>
      </c>
      <c r="AB75" s="1">
        <v>2.76610868701197E-2</v>
      </c>
      <c r="AC75" s="1">
        <v>2.7661086141497201E-2</v>
      </c>
      <c r="AD75" s="1">
        <v>2.7661085646808799E-2</v>
      </c>
      <c r="AE75" s="1">
        <v>2.7661085310946899E-2</v>
      </c>
      <c r="AF75" s="1">
        <v>2.76610850829179E-2</v>
      </c>
      <c r="AG75" s="1">
        <v>2.76610849281008E-2</v>
      </c>
      <c r="AH75" s="1">
        <v>2.76610848229898E-2</v>
      </c>
    </row>
    <row r="76" spans="1:34" x14ac:dyDescent="0.25">
      <c r="A76" s="2">
        <v>74</v>
      </c>
      <c r="B76" s="1">
        <v>3.0051722100052601E-2</v>
      </c>
      <c r="C76" s="1">
        <v>3.0031969649697201E-2</v>
      </c>
      <c r="D76" s="1">
        <v>3.00185662781896E-2</v>
      </c>
      <c r="E76" s="1">
        <v>3.0009469598136201E-2</v>
      </c>
      <c r="F76" s="1">
        <v>3.0003295077576101E-2</v>
      </c>
      <c r="G76" s="1">
        <v>2.99991036834731E-2</v>
      </c>
      <c r="H76" s="1">
        <v>2.9996258321818899E-2</v>
      </c>
      <c r="I76" s="1">
        <v>2.9994326653510001E-2</v>
      </c>
      <c r="J76" s="1">
        <v>2.9993015243274801E-2</v>
      </c>
      <c r="K76" s="1">
        <v>2.9992124911226999E-2</v>
      </c>
      <c r="L76" s="1">
        <v>2.9991520447167401E-2</v>
      </c>
      <c r="M76" s="1">
        <v>2.9991110061313001E-2</v>
      </c>
      <c r="N76" s="1">
        <v>2.9990831438543399E-2</v>
      </c>
      <c r="O76" s="1">
        <v>2.9990642272837899E-2</v>
      </c>
      <c r="P76" s="1">
        <v>2.9990513842012099E-2</v>
      </c>
      <c r="Q76" s="1">
        <v>2.9990426645949898E-2</v>
      </c>
      <c r="R76" s="1">
        <v>2.99903674455059E-2</v>
      </c>
      <c r="S76" s="1">
        <v>2.9990327252231299E-2</v>
      </c>
      <c r="T76" s="1">
        <v>2.9990299963581799E-2</v>
      </c>
      <c r="U76" s="1">
        <v>2.9990281436336402E-2</v>
      </c>
      <c r="V76" s="1">
        <v>2.9990268857520399E-2</v>
      </c>
      <c r="W76" s="1">
        <v>2.9990260317306498E-2</v>
      </c>
      <c r="X76" s="1">
        <v>2.99902545190452E-2</v>
      </c>
      <c r="Y76" s="1">
        <v>2.9990250582394799E-2</v>
      </c>
      <c r="Z76" s="1">
        <v>2.9990247909659599E-2</v>
      </c>
      <c r="AA76" s="1">
        <v>2.9990246095042299E-2</v>
      </c>
      <c r="AB76" s="1">
        <v>2.9990244863032499E-2</v>
      </c>
      <c r="AC76" s="1">
        <v>2.9990244026576199E-2</v>
      </c>
      <c r="AD76" s="1">
        <v>2.99902434586755E-2</v>
      </c>
      <c r="AE76" s="1">
        <v>2.9990243073106999E-2</v>
      </c>
      <c r="AF76" s="1">
        <v>2.99902428113305E-2</v>
      </c>
      <c r="AG76" s="1">
        <v>2.9990242633600901E-2</v>
      </c>
      <c r="AH76" s="1">
        <v>2.99902425129338E-2</v>
      </c>
    </row>
    <row r="77" spans="1:34" x14ac:dyDescent="0.25">
      <c r="A77" s="2">
        <v>75</v>
      </c>
      <c r="B77" s="1">
        <v>3.2738360028679803E-2</v>
      </c>
      <c r="C77" s="1">
        <v>3.2715636698987603E-2</v>
      </c>
      <c r="D77" s="1">
        <v>3.270021784227E-2</v>
      </c>
      <c r="E77" s="1">
        <v>3.2689753491310002E-2</v>
      </c>
      <c r="F77" s="1">
        <v>3.2682650738781502E-2</v>
      </c>
      <c r="G77" s="1">
        <v>3.2677829286075197E-2</v>
      </c>
      <c r="H77" s="1">
        <v>3.2674556224679401E-2</v>
      </c>
      <c r="I77" s="1">
        <v>3.26723342076915E-2</v>
      </c>
      <c r="J77" s="1">
        <v>3.2670825684025101E-2</v>
      </c>
      <c r="K77" s="1">
        <v>3.2669801531337098E-2</v>
      </c>
      <c r="L77" s="1">
        <v>3.26691062147254E-2</v>
      </c>
      <c r="M77" s="1">
        <v>3.2668634147216997E-2</v>
      </c>
      <c r="N77" s="1">
        <v>3.2668313647194802E-2</v>
      </c>
      <c r="O77" s="1">
        <v>3.26680960498048E-2</v>
      </c>
      <c r="P77" s="1">
        <v>3.2667948315814398E-2</v>
      </c>
      <c r="Q77" s="1">
        <v>3.2667848014195602E-2</v>
      </c>
      <c r="R77" s="1">
        <v>3.2667779915941698E-2</v>
      </c>
      <c r="S77" s="1">
        <v>3.26677336816334E-2</v>
      </c>
      <c r="T77" s="1">
        <v>3.26677022915123E-2</v>
      </c>
      <c r="U77" s="1">
        <v>3.26676809796312E-2</v>
      </c>
      <c r="V77" s="1">
        <v>3.2667666510225901E-2</v>
      </c>
      <c r="W77" s="1">
        <v>3.2667656686422603E-2</v>
      </c>
      <c r="X77" s="1">
        <v>3.2667650016685902E-2</v>
      </c>
      <c r="Y77" s="1">
        <v>3.2667645488359202E-2</v>
      </c>
      <c r="Z77" s="1">
        <v>3.2667642413913497E-2</v>
      </c>
      <c r="AA77" s="1">
        <v>3.2667640326560297E-2</v>
      </c>
      <c r="AB77" s="1">
        <v>3.2667638909380202E-2</v>
      </c>
      <c r="AC77" s="1">
        <v>3.2667637947205001E-2</v>
      </c>
      <c r="AD77" s="1">
        <v>3.2667637293949198E-2</v>
      </c>
      <c r="AE77" s="1">
        <v>3.2667636850429997E-2</v>
      </c>
      <c r="AF77" s="1">
        <v>3.2667636549308599E-2</v>
      </c>
      <c r="AG77" s="1">
        <v>3.2667636344866399E-2</v>
      </c>
      <c r="AH77" s="1">
        <v>3.2667636206063E-2</v>
      </c>
    </row>
    <row r="78" spans="1:34" x14ac:dyDescent="0.25">
      <c r="A78" s="2">
        <v>76</v>
      </c>
      <c r="B78" s="1">
        <v>3.6738432714536799E-2</v>
      </c>
      <c r="C78" s="1">
        <v>3.6728156712330103E-2</v>
      </c>
      <c r="D78" s="1">
        <v>3.67211815672999E-2</v>
      </c>
      <c r="E78" s="1">
        <v>3.6716446627872802E-2</v>
      </c>
      <c r="F78" s="1">
        <v>3.6713232246305197E-2</v>
      </c>
      <c r="G78" s="1">
        <v>3.6711050042834502E-2</v>
      </c>
      <c r="H78" s="1">
        <v>3.6709568537868303E-2</v>
      </c>
      <c r="I78" s="1">
        <v>3.6708562723561697E-2</v>
      </c>
      <c r="J78" s="1">
        <v>3.6707879854964903E-2</v>
      </c>
      <c r="K78" s="1">
        <v>3.6707416237678203E-2</v>
      </c>
      <c r="L78" s="1">
        <v>3.6707101474271198E-2</v>
      </c>
      <c r="M78" s="1">
        <v>3.6706887771425799E-2</v>
      </c>
      <c r="N78" s="1">
        <v>3.6706742681467099E-2</v>
      </c>
      <c r="O78" s="1">
        <v>3.6706644174924197E-2</v>
      </c>
      <c r="P78" s="1">
        <v>3.6706577295388003E-2</v>
      </c>
      <c r="Q78" s="1">
        <v>3.6706531888500198E-2</v>
      </c>
      <c r="R78" s="1">
        <v>3.6706501060139701E-2</v>
      </c>
      <c r="S78" s="1">
        <v>3.6706480129656098E-2</v>
      </c>
      <c r="T78" s="1">
        <v>3.6706465919194201E-2</v>
      </c>
      <c r="U78" s="1">
        <v>3.6706456271196598E-2</v>
      </c>
      <c r="V78" s="1">
        <v>3.6706449720820503E-2</v>
      </c>
      <c r="W78" s="1">
        <v>3.6706445273532E-2</v>
      </c>
      <c r="X78" s="1">
        <v>3.6706442254105999E-2</v>
      </c>
      <c r="Y78" s="1">
        <v>3.6706440204107703E-2</v>
      </c>
      <c r="Z78" s="1">
        <v>3.6706438812289202E-2</v>
      </c>
      <c r="AA78" s="1">
        <v>3.6706437867332901E-2</v>
      </c>
      <c r="AB78" s="1">
        <v>3.6706437225767601E-2</v>
      </c>
      <c r="AC78" s="1">
        <v>3.6706436790185502E-2</v>
      </c>
      <c r="AD78" s="1">
        <v>3.6706436494453001E-2</v>
      </c>
      <c r="AE78" s="1">
        <v>3.6706436293669299E-2</v>
      </c>
      <c r="AF78" s="1">
        <v>3.6706436157350003E-2</v>
      </c>
      <c r="AG78" s="1">
        <v>3.6706436064797898E-2</v>
      </c>
      <c r="AH78" s="1">
        <v>3.6706436001960899E-2</v>
      </c>
    </row>
    <row r="79" spans="1:34" x14ac:dyDescent="0.25">
      <c r="A79" s="2">
        <v>77</v>
      </c>
      <c r="B79" s="1">
        <v>4.1702433934986301E-2</v>
      </c>
      <c r="C79" s="1">
        <v>4.1714831021622399E-2</v>
      </c>
      <c r="D79" s="1">
        <v>4.1723249911430997E-2</v>
      </c>
      <c r="E79" s="1">
        <v>4.1728966750458701E-2</v>
      </c>
      <c r="F79" s="1">
        <v>4.1732848557864501E-2</v>
      </c>
      <c r="G79" s="1">
        <v>4.1735484259884201E-2</v>
      </c>
      <c r="H79" s="1">
        <v>4.1737273826948501E-2</v>
      </c>
      <c r="I79" s="1">
        <v>4.1738488872087698E-2</v>
      </c>
      <c r="J79" s="1">
        <v>4.1739313830270103E-2</v>
      </c>
      <c r="K79" s="1">
        <v>4.1739873933557499E-2</v>
      </c>
      <c r="L79" s="1">
        <v>4.1740254212296102E-2</v>
      </c>
      <c r="M79" s="1">
        <v>4.1740512399331298E-2</v>
      </c>
      <c r="N79" s="1">
        <v>4.17406876928152E-2</v>
      </c>
      <c r="O79" s="1">
        <v>4.1740806706364098E-2</v>
      </c>
      <c r="P79" s="1">
        <v>4.17408875091917E-2</v>
      </c>
      <c r="Q79" s="1">
        <v>4.1740942369265101E-2</v>
      </c>
      <c r="R79" s="1">
        <v>4.1740979615809602E-2</v>
      </c>
      <c r="S79" s="1">
        <v>4.1741004903865397E-2</v>
      </c>
      <c r="T79" s="1">
        <v>4.1741022072857202E-2</v>
      </c>
      <c r="U79" s="1">
        <v>4.1741033729515702E-2</v>
      </c>
      <c r="V79" s="1">
        <v>4.17410416436481E-2</v>
      </c>
      <c r="W79" s="1">
        <v>4.1741047016841899E-2</v>
      </c>
      <c r="X79" s="1">
        <v>4.1741050664899602E-2</v>
      </c>
      <c r="Y79" s="1">
        <v>4.1741053141699097E-2</v>
      </c>
      <c r="Z79" s="1">
        <v>4.1741054823288701E-2</v>
      </c>
      <c r="AA79" s="1">
        <v>4.1741055964981302E-2</v>
      </c>
      <c r="AB79" s="1">
        <v>4.1741056740118E-2</v>
      </c>
      <c r="AC79" s="1">
        <v>4.1741057266386598E-2</v>
      </c>
      <c r="AD79" s="1">
        <v>4.1741057623689501E-2</v>
      </c>
      <c r="AE79" s="1">
        <v>4.1741057866275501E-2</v>
      </c>
      <c r="AF79" s="1">
        <v>4.1741058030975997E-2</v>
      </c>
      <c r="AG79" s="1">
        <v>4.1741058142797202E-2</v>
      </c>
      <c r="AH79" s="1">
        <v>4.1741058218716598E-2</v>
      </c>
    </row>
    <row r="80" spans="1:34" x14ac:dyDescent="0.25">
      <c r="A80" s="2">
        <v>78</v>
      </c>
      <c r="B80" s="1">
        <v>4.6424869490506601E-2</v>
      </c>
      <c r="C80" s="1">
        <v>4.6449113753224698E-2</v>
      </c>
      <c r="D80" s="1">
        <v>4.6465581111300502E-2</v>
      </c>
      <c r="E80" s="1">
        <v>4.6476764649291499E-2</v>
      </c>
      <c r="F80" s="1">
        <v>4.6484359058625899E-2</v>
      </c>
      <c r="G80" s="1">
        <v>4.6489515870482501E-2</v>
      </c>
      <c r="H80" s="1">
        <v>4.6493017336386701E-2</v>
      </c>
      <c r="I80" s="1">
        <v>4.6495394755999203E-2</v>
      </c>
      <c r="J80" s="1">
        <v>4.6497008940505798E-2</v>
      </c>
      <c r="K80" s="1">
        <v>4.6498104900408302E-2</v>
      </c>
      <c r="L80" s="1">
        <v>4.6498849001923297E-2</v>
      </c>
      <c r="M80" s="1">
        <v>4.6499354206200903E-2</v>
      </c>
      <c r="N80" s="1">
        <v>4.64996972108613E-2</v>
      </c>
      <c r="O80" s="1">
        <v>4.6499930090640802E-2</v>
      </c>
      <c r="P80" s="1">
        <v>4.6500088201864097E-2</v>
      </c>
      <c r="Q80" s="1">
        <v>4.6500195549638197E-2</v>
      </c>
      <c r="R80" s="1">
        <v>4.6500268432094399E-2</v>
      </c>
      <c r="S80" s="1">
        <v>4.6500317914715199E-2</v>
      </c>
      <c r="T80" s="1">
        <v>4.65003515103002E-2</v>
      </c>
      <c r="U80" s="1">
        <v>4.6500374319581303E-2</v>
      </c>
      <c r="V80" s="1">
        <v>4.6500389805640301E-2</v>
      </c>
      <c r="W80" s="1">
        <v>4.6500400319693297E-2</v>
      </c>
      <c r="X80" s="1">
        <v>4.6500407458068597E-2</v>
      </c>
      <c r="Y80" s="1">
        <v>4.6500412304572601E-2</v>
      </c>
      <c r="Z80" s="1">
        <v>4.6500415595041103E-2</v>
      </c>
      <c r="AA80" s="1">
        <v>4.6500417829060302E-2</v>
      </c>
      <c r="AB80" s="1">
        <v>4.6500419345817397E-2</v>
      </c>
      <c r="AC80" s="1">
        <v>4.6500420375599198E-2</v>
      </c>
      <c r="AD80" s="1">
        <v>4.6500421074755598E-2</v>
      </c>
      <c r="AE80" s="1">
        <v>4.6500421549438398E-2</v>
      </c>
      <c r="AF80" s="1">
        <v>4.6500421871717802E-2</v>
      </c>
      <c r="AG80" s="1">
        <v>4.6500422090525101E-2</v>
      </c>
      <c r="AH80" s="1">
        <v>4.6500422239081303E-2</v>
      </c>
    </row>
    <row r="81" spans="1:34" x14ac:dyDescent="0.25">
      <c r="A81" s="2">
        <v>79</v>
      </c>
      <c r="B81" s="1">
        <v>4.96338920556861E-2</v>
      </c>
      <c r="C81" s="1">
        <v>4.9659634383098401E-2</v>
      </c>
      <c r="D81" s="1">
        <v>4.9677119203057202E-2</v>
      </c>
      <c r="E81" s="1">
        <v>4.9688993704143598E-2</v>
      </c>
      <c r="F81" s="1">
        <v>4.96970573124123E-2</v>
      </c>
      <c r="G81" s="1">
        <v>4.97025327169053E-2</v>
      </c>
      <c r="H81" s="1">
        <v>4.9706250503734298E-2</v>
      </c>
      <c r="I81" s="1">
        <v>4.9708774799239901E-2</v>
      </c>
      <c r="J81" s="1">
        <v>4.9710488706709001E-2</v>
      </c>
      <c r="K81" s="1">
        <v>4.97116523738097E-2</v>
      </c>
      <c r="L81" s="1">
        <v>4.9712442444967399E-2</v>
      </c>
      <c r="M81" s="1">
        <v>4.9712978860060798E-2</v>
      </c>
      <c r="N81" s="1">
        <v>4.9713343055042998E-2</v>
      </c>
      <c r="O81" s="1">
        <v>4.9713590321778897E-2</v>
      </c>
      <c r="P81" s="1">
        <v>4.9713758200865599E-2</v>
      </c>
      <c r="Q81" s="1">
        <v>4.9713872180414197E-2</v>
      </c>
      <c r="R81" s="1">
        <v>4.9713949565431202E-2</v>
      </c>
      <c r="S81" s="1">
        <v>4.9714002105008002E-2</v>
      </c>
      <c r="T81" s="1">
        <v>4.9714037776073403E-2</v>
      </c>
      <c r="U81" s="1">
        <v>4.9714061994474701E-2</v>
      </c>
      <c r="V81" s="1">
        <v>4.9714078437236998E-2</v>
      </c>
      <c r="W81" s="1">
        <v>4.9714089600830902E-2</v>
      </c>
      <c r="X81" s="1">
        <v>4.9714097180203302E-2</v>
      </c>
      <c r="Y81" s="1">
        <v>4.9714102326116297E-2</v>
      </c>
      <c r="Z81" s="1">
        <v>4.9714105819864497E-2</v>
      </c>
      <c r="AA81" s="1">
        <v>4.9714108191897699E-2</v>
      </c>
      <c r="AB81" s="1">
        <v>4.97141098023577E-2</v>
      </c>
      <c r="AC81" s="1">
        <v>4.9714110895757703E-2</v>
      </c>
      <c r="AD81" s="1">
        <v>4.9714111638106802E-2</v>
      </c>
      <c r="AE81" s="1">
        <v>4.97141121421147E-2</v>
      </c>
      <c r="AF81" s="1">
        <v>4.9714112484304102E-2</v>
      </c>
      <c r="AG81" s="1">
        <v>4.97141127166289E-2</v>
      </c>
      <c r="AH81" s="1">
        <v>4.9714112874362698E-2</v>
      </c>
    </row>
    <row r="82" spans="1:34" x14ac:dyDescent="0.25">
      <c r="A82" s="2">
        <v>80</v>
      </c>
      <c r="B82" s="1">
        <v>5.3454215282295603E-2</v>
      </c>
      <c r="C82" s="1">
        <v>5.3485494728983903E-2</v>
      </c>
      <c r="D82" s="1">
        <v>5.3506741630611102E-2</v>
      </c>
      <c r="E82" s="1">
        <v>5.3521171604915402E-2</v>
      </c>
      <c r="F82" s="1">
        <v>5.35309707975768E-2</v>
      </c>
      <c r="G82" s="1">
        <v>5.3537624821219501E-2</v>
      </c>
      <c r="H82" s="1">
        <v>5.3542142938946297E-2</v>
      </c>
      <c r="I82" s="1">
        <v>5.3545210665160499E-2</v>
      </c>
      <c r="J82" s="1">
        <v>5.3547293553774099E-2</v>
      </c>
      <c r="K82" s="1">
        <v>5.3548707747715502E-2</v>
      </c>
      <c r="L82" s="1">
        <v>5.3549667916252701E-2</v>
      </c>
      <c r="M82" s="1">
        <v>5.35503198192279E-2</v>
      </c>
      <c r="N82" s="1">
        <v>5.3550762424328303E-2</v>
      </c>
      <c r="O82" s="1">
        <v>5.3551062927098401E-2</v>
      </c>
      <c r="P82" s="1">
        <v>5.3551266950321599E-2</v>
      </c>
      <c r="Q82" s="1">
        <v>5.3551405469558402E-2</v>
      </c>
      <c r="R82" s="1">
        <v>5.3551499515517999E-2</v>
      </c>
      <c r="S82" s="1">
        <v>5.3551563366840901E-2</v>
      </c>
      <c r="T82" s="1">
        <v>5.3551606717874699E-2</v>
      </c>
      <c r="U82" s="1">
        <v>5.3551636150491702E-2</v>
      </c>
      <c r="V82" s="1">
        <v>5.3551656133377701E-2</v>
      </c>
      <c r="W82" s="1">
        <v>5.3551669700491702E-2</v>
      </c>
      <c r="X82" s="1">
        <v>5.3551678911702101E-2</v>
      </c>
      <c r="Y82" s="1">
        <v>5.3551685165529599E-2</v>
      </c>
      <c r="Z82" s="1">
        <v>5.3551689411481501E-2</v>
      </c>
      <c r="AA82" s="1">
        <v>5.3551692294213402E-2</v>
      </c>
      <c r="AB82" s="1">
        <v>5.3551694251405199E-2</v>
      </c>
      <c r="AC82" s="1">
        <v>5.3551695580214102E-2</v>
      </c>
      <c r="AD82" s="1">
        <v>5.3551696482390998E-2</v>
      </c>
      <c r="AE82" s="1">
        <v>5.3551697094911699E-2</v>
      </c>
      <c r="AF82" s="1">
        <v>5.3551697510774397E-2</v>
      </c>
      <c r="AG82" s="1">
        <v>5.3551697793118802E-2</v>
      </c>
      <c r="AH82" s="1">
        <v>5.3551697984812602E-2</v>
      </c>
    </row>
    <row r="83" spans="1:34" x14ac:dyDescent="0.25">
      <c r="A83" s="2">
        <v>81</v>
      </c>
      <c r="B83" s="1">
        <v>5.9473456155524997E-2</v>
      </c>
      <c r="C83" s="1">
        <v>5.9545803146674701E-2</v>
      </c>
      <c r="D83" s="1">
        <v>5.9594970769627997E-2</v>
      </c>
      <c r="E83" s="1">
        <v>5.9628374887538402E-2</v>
      </c>
      <c r="F83" s="1">
        <v>5.9651064504060602E-2</v>
      </c>
      <c r="G83" s="1">
        <v>5.9666474081381898E-2</v>
      </c>
      <c r="H83" s="1">
        <v>5.9676938404303201E-2</v>
      </c>
      <c r="I83" s="1">
        <v>5.9684044028510803E-2</v>
      </c>
      <c r="J83" s="1">
        <v>5.9688868763259101E-2</v>
      </c>
      <c r="K83" s="1">
        <v>5.9692144667065801E-2</v>
      </c>
      <c r="L83" s="1">
        <v>5.9694368896935301E-2</v>
      </c>
      <c r="M83" s="1">
        <v>5.9695879053483697E-2</v>
      </c>
      <c r="N83" s="1">
        <v>5.9696904374937097E-2</v>
      </c>
      <c r="O83" s="1">
        <v>5.9697600512788697E-2</v>
      </c>
      <c r="P83" s="1">
        <v>5.96980731506455E-2</v>
      </c>
      <c r="Q83" s="1">
        <v>5.9698394043788398E-2</v>
      </c>
      <c r="R83" s="1">
        <v>5.9698611910797499E-2</v>
      </c>
      <c r="S83" s="1">
        <v>5.96987598290937E-2</v>
      </c>
      <c r="T83" s="1">
        <v>5.9698860256421397E-2</v>
      </c>
      <c r="U83" s="1">
        <v>5.9698928440289602E-2</v>
      </c>
      <c r="V83" s="1">
        <v>5.9698974732847097E-2</v>
      </c>
      <c r="W83" s="1">
        <v>5.9699006162572198E-2</v>
      </c>
      <c r="X83" s="1">
        <v>5.96990275013679E-2</v>
      </c>
      <c r="Y83" s="1">
        <v>5.96990419890586E-2</v>
      </c>
      <c r="Z83" s="1">
        <v>5.9699051825282103E-2</v>
      </c>
      <c r="AA83" s="1">
        <v>5.9699058503453799E-2</v>
      </c>
      <c r="AB83" s="1">
        <v>5.96990630375085E-2</v>
      </c>
      <c r="AC83" s="1">
        <v>5.9699066115843698E-2</v>
      </c>
      <c r="AD83" s="1">
        <v>5.9699068205837799E-2</v>
      </c>
      <c r="AE83" s="1">
        <v>5.9699069624811099E-2</v>
      </c>
      <c r="AF83" s="1">
        <v>5.9699070588203902E-2</v>
      </c>
      <c r="AG83" s="1">
        <v>5.9699071242286302E-2</v>
      </c>
      <c r="AH83" s="1">
        <v>5.9699071686366803E-2</v>
      </c>
    </row>
    <row r="84" spans="1:34" x14ac:dyDescent="0.25">
      <c r="A84" s="2">
        <v>82</v>
      </c>
      <c r="B84" s="1">
        <v>6.7653262595787897E-2</v>
      </c>
      <c r="C84" s="1">
        <v>6.7783017363617706E-2</v>
      </c>
      <c r="D84" s="1">
        <v>6.7871249434648701E-2</v>
      </c>
      <c r="E84" s="1">
        <v>6.7931216553356294E-2</v>
      </c>
      <c r="F84" s="1">
        <v>6.7971959549563199E-2</v>
      </c>
      <c r="G84" s="1">
        <v>6.7999634891749303E-2</v>
      </c>
      <c r="H84" s="1">
        <v>6.8018430886663803E-2</v>
      </c>
      <c r="I84" s="1">
        <v>6.8031195029788799E-2</v>
      </c>
      <c r="J84" s="1">
        <v>6.8039862389080594E-2</v>
      </c>
      <c r="K84" s="1">
        <v>6.8045747582546598E-2</v>
      </c>
      <c r="L84" s="1">
        <v>6.8049743534903506E-2</v>
      </c>
      <c r="M84" s="1">
        <v>6.8052456661703994E-2</v>
      </c>
      <c r="N84" s="1">
        <v>6.8054298761903803E-2</v>
      </c>
      <c r="O84" s="1">
        <v>6.8055549458320597E-2</v>
      </c>
      <c r="P84" s="1">
        <v>6.80563986143638E-2</v>
      </c>
      <c r="Q84" s="1">
        <v>6.8056975143192297E-2</v>
      </c>
      <c r="R84" s="1">
        <v>6.8057366572322794E-2</v>
      </c>
      <c r="S84" s="1">
        <v>6.8057632329070999E-2</v>
      </c>
      <c r="T84" s="1">
        <v>6.8057812761588801E-2</v>
      </c>
      <c r="U84" s="1">
        <v>6.8057935264067795E-2</v>
      </c>
      <c r="V84" s="1">
        <v>6.8058018435589104E-2</v>
      </c>
      <c r="W84" s="1">
        <v>6.8058074903823707E-2</v>
      </c>
      <c r="X84" s="1">
        <v>6.8058113242193005E-2</v>
      </c>
      <c r="Y84" s="1">
        <v>6.8058139271521906E-2</v>
      </c>
      <c r="Z84" s="1">
        <v>6.8058156943787806E-2</v>
      </c>
      <c r="AA84" s="1">
        <v>6.8058168942136205E-2</v>
      </c>
      <c r="AB84" s="1">
        <v>6.8058177088253596E-2</v>
      </c>
      <c r="AC84" s="1">
        <v>6.8058182618950205E-2</v>
      </c>
      <c r="AD84" s="1">
        <v>6.8058186373942106E-2</v>
      </c>
      <c r="AE84" s="1">
        <v>6.8058188923343102E-2</v>
      </c>
      <c r="AF84" s="1">
        <v>6.8058190654224499E-2</v>
      </c>
      <c r="AG84" s="1">
        <v>6.8058191829382997E-2</v>
      </c>
      <c r="AH84" s="1">
        <v>6.8058192627240999E-2</v>
      </c>
    </row>
    <row r="85" spans="1:34" x14ac:dyDescent="0.25">
      <c r="A85" s="2">
        <v>83</v>
      </c>
      <c r="B85" s="1">
        <v>7.6812527023753893E-2</v>
      </c>
      <c r="C85" s="1">
        <v>7.6991227056931205E-2</v>
      </c>
      <c r="D85" s="1">
        <v>7.7112780415107302E-2</v>
      </c>
      <c r="E85" s="1">
        <v>7.7195412390989399E-2</v>
      </c>
      <c r="F85" s="1">
        <v>7.7251562686088807E-2</v>
      </c>
      <c r="G85" s="1">
        <v>7.72897075095553E-2</v>
      </c>
      <c r="H85" s="1">
        <v>7.7315615723848194E-2</v>
      </c>
      <c r="I85" s="1">
        <v>7.7333210505816194E-2</v>
      </c>
      <c r="J85" s="1">
        <v>7.7345158435133093E-2</v>
      </c>
      <c r="K85" s="1">
        <v>7.7353271329776097E-2</v>
      </c>
      <c r="L85" s="1">
        <v>7.7358779935280203E-2</v>
      </c>
      <c r="M85" s="1">
        <v>7.7362520143014493E-2</v>
      </c>
      <c r="N85" s="1">
        <v>7.7365059605351394E-2</v>
      </c>
      <c r="O85" s="1">
        <v>7.7366783784532406E-2</v>
      </c>
      <c r="P85" s="1">
        <v>7.7367954413670198E-2</v>
      </c>
      <c r="Q85" s="1">
        <v>7.7368749206168305E-2</v>
      </c>
      <c r="R85" s="1">
        <v>7.7369288824243806E-2</v>
      </c>
      <c r="S85" s="1">
        <v>7.73696551926914E-2</v>
      </c>
      <c r="T85" s="1">
        <v>7.73699039345392E-2</v>
      </c>
      <c r="U85" s="1">
        <v>7.7370072814887503E-2</v>
      </c>
      <c r="V85" s="1">
        <v>7.7370187474115906E-2</v>
      </c>
      <c r="W85" s="1">
        <v>7.7370265320540199E-2</v>
      </c>
      <c r="X85" s="1">
        <v>7.7370318173359098E-2</v>
      </c>
      <c r="Y85" s="1">
        <v>7.7370354057084895E-2</v>
      </c>
      <c r="Z85" s="1">
        <v>7.7370378419863994E-2</v>
      </c>
      <c r="AA85" s="1">
        <v>7.7370394960647307E-2</v>
      </c>
      <c r="AB85" s="1">
        <v>7.7370406190790206E-2</v>
      </c>
      <c r="AC85" s="1">
        <v>7.7370413815344596E-2</v>
      </c>
      <c r="AD85" s="1">
        <v>7.7370418991933004E-2</v>
      </c>
      <c r="AE85" s="1">
        <v>7.7370422506507899E-2</v>
      </c>
      <c r="AF85" s="1">
        <v>7.7370424892681006E-2</v>
      </c>
      <c r="AG85" s="1">
        <v>7.7370426512740995E-2</v>
      </c>
      <c r="AH85" s="1">
        <v>7.7370427612658804E-2</v>
      </c>
    </row>
    <row r="86" spans="1:34" x14ac:dyDescent="0.25">
      <c r="A86" s="2">
        <v>84</v>
      </c>
      <c r="B86" s="1">
        <v>8.56991148404605E-2</v>
      </c>
      <c r="C86" s="1">
        <v>8.5914485553489794E-2</v>
      </c>
      <c r="D86" s="1">
        <v>8.6061003118757695E-2</v>
      </c>
      <c r="E86" s="1">
        <v>8.6160615213176001E-2</v>
      </c>
      <c r="F86" s="1">
        <v>8.6228308241100102E-2</v>
      </c>
      <c r="G86" s="1">
        <v>8.6274296449187493E-2</v>
      </c>
      <c r="H86" s="1">
        <v>8.6305532868469703E-2</v>
      </c>
      <c r="I86" s="1">
        <v>8.6326746567328694E-2</v>
      </c>
      <c r="J86" s="1">
        <v>8.6341152158745493E-2</v>
      </c>
      <c r="K86" s="1">
        <v>8.6350933948310199E-2</v>
      </c>
      <c r="L86" s="1">
        <v>8.6357575765046199E-2</v>
      </c>
      <c r="M86" s="1">
        <v>8.6362085414647405E-2</v>
      </c>
      <c r="N86" s="1">
        <v>8.6365147308369694E-2</v>
      </c>
      <c r="O86" s="1">
        <v>8.6367226198749494E-2</v>
      </c>
      <c r="P86" s="1">
        <v>8.6368637660469094E-2</v>
      </c>
      <c r="Q86" s="1">
        <v>8.6369595965853294E-2</v>
      </c>
      <c r="R86" s="1">
        <v>8.6370246600110306E-2</v>
      </c>
      <c r="S86" s="1">
        <v>8.6370688342100294E-2</v>
      </c>
      <c r="T86" s="1">
        <v>8.6370988258075196E-2</v>
      </c>
      <c r="U86" s="1">
        <v>8.6371191882533796E-2</v>
      </c>
      <c r="V86" s="1">
        <v>8.6371330130865301E-2</v>
      </c>
      <c r="W86" s="1">
        <v>8.6371423992819205E-2</v>
      </c>
      <c r="X86" s="1">
        <v>8.6371487719177895E-2</v>
      </c>
      <c r="Y86" s="1">
        <v>8.6371530985352205E-2</v>
      </c>
      <c r="Z86" s="1">
        <v>8.6371560360347502E-2</v>
      </c>
      <c r="AA86" s="1">
        <v>8.6371580304108395E-2</v>
      </c>
      <c r="AB86" s="1">
        <v>8.6371593844657493E-2</v>
      </c>
      <c r="AC86" s="1">
        <v>8.6371603037831104E-2</v>
      </c>
      <c r="AD86" s="1">
        <v>8.6371609279412495E-2</v>
      </c>
      <c r="AE86" s="1">
        <v>8.6371613517049903E-2</v>
      </c>
      <c r="AF86" s="1">
        <v>8.6371616394136597E-2</v>
      </c>
      <c r="AG86" s="1">
        <v>8.6371618347495696E-2</v>
      </c>
      <c r="AH86" s="1">
        <v>8.6371619673702493E-2</v>
      </c>
    </row>
    <row r="87" spans="1:34" x14ac:dyDescent="0.25">
      <c r="A87" s="2">
        <v>85</v>
      </c>
      <c r="B87" s="1">
        <v>9.4397727052909497E-2</v>
      </c>
      <c r="C87" s="1">
        <v>9.4650504028442495E-2</v>
      </c>
      <c r="D87" s="1">
        <v>9.4822490019194294E-2</v>
      </c>
      <c r="E87" s="1">
        <v>9.4939426785267997E-2</v>
      </c>
      <c r="F87" s="1">
        <v>9.5018897501354796E-2</v>
      </c>
      <c r="G87" s="1">
        <v>9.5072889087201601E-2</v>
      </c>
      <c r="H87" s="1">
        <v>9.5109562555051499E-2</v>
      </c>
      <c r="I87" s="1">
        <v>9.5134469169409194E-2</v>
      </c>
      <c r="J87" s="1">
        <v>9.5151382709731197E-2</v>
      </c>
      <c r="K87" s="1">
        <v>9.5162867557181396E-2</v>
      </c>
      <c r="L87" s="1">
        <v>9.5170665789506004E-2</v>
      </c>
      <c r="M87" s="1">
        <v>9.5175960639810306E-2</v>
      </c>
      <c r="N87" s="1">
        <v>9.5179555666265098E-2</v>
      </c>
      <c r="O87" s="1">
        <v>9.5181996534346003E-2</v>
      </c>
      <c r="P87" s="1">
        <v>9.5183653762586404E-2</v>
      </c>
      <c r="Q87" s="1">
        <v>9.5184778930893804E-2</v>
      </c>
      <c r="R87" s="1">
        <v>9.5185542855889094E-2</v>
      </c>
      <c r="S87" s="1">
        <v>9.5186061515745005E-2</v>
      </c>
      <c r="T87" s="1">
        <v>9.5186413654364393E-2</v>
      </c>
      <c r="U87" s="1">
        <v>9.5186652734819396E-2</v>
      </c>
      <c r="V87" s="1">
        <v>9.5186815055583601E-2</v>
      </c>
      <c r="W87" s="1">
        <v>9.5186925261219399E-2</v>
      </c>
      <c r="X87" s="1">
        <v>9.5187000083913301E-2</v>
      </c>
      <c r="Y87" s="1">
        <v>9.5187050883800403E-2</v>
      </c>
      <c r="Z87" s="1">
        <v>9.51870853737109E-2</v>
      </c>
      <c r="AA87" s="1">
        <v>9.5187108790175598E-2</v>
      </c>
      <c r="AB87" s="1">
        <v>9.5187124688470501E-2</v>
      </c>
      <c r="AC87" s="1">
        <v>9.5187135482404095E-2</v>
      </c>
      <c r="AD87" s="1">
        <v>9.5187142810799902E-2</v>
      </c>
      <c r="AE87" s="1">
        <v>9.5187147786315304E-2</v>
      </c>
      <c r="AF87" s="1">
        <v>9.5187151164374303E-2</v>
      </c>
      <c r="AG87" s="1">
        <v>9.5187153457861801E-2</v>
      </c>
      <c r="AH87" s="1">
        <v>9.5187155014994099E-2</v>
      </c>
    </row>
    <row r="88" spans="1:34" x14ac:dyDescent="0.25">
      <c r="A88" s="2">
        <v>86</v>
      </c>
      <c r="B88" s="1">
        <v>0.10705943181263999</v>
      </c>
      <c r="C88" s="1">
        <v>0.10739929361841501</v>
      </c>
      <c r="D88" s="1">
        <v>0.10763061794306999</v>
      </c>
      <c r="E88" s="1">
        <v>0.107787940199062</v>
      </c>
      <c r="F88" s="1">
        <v>0.107894875585788</v>
      </c>
      <c r="G88" s="1">
        <v>0.107967534928401</v>
      </c>
      <c r="H88" s="1">
        <v>0.10801689229955699</v>
      </c>
      <c r="I88" s="1">
        <v>0.108050414943754</v>
      </c>
      <c r="J88" s="1">
        <v>0.108073180279926</v>
      </c>
      <c r="K88" s="1">
        <v>0.10808863907428699</v>
      </c>
      <c r="L88" s="1">
        <v>0.10809913580174101</v>
      </c>
      <c r="M88" s="1">
        <v>0.10810626296055199</v>
      </c>
      <c r="N88" s="1">
        <v>0.10811110210107799</v>
      </c>
      <c r="O88" s="1">
        <v>0.10811438768644401</v>
      </c>
      <c r="P88" s="1">
        <v>0.108116618443816</v>
      </c>
      <c r="Q88" s="1">
        <v>0.10811813301107601</v>
      </c>
      <c r="R88" s="1">
        <v>0.108119161317419</v>
      </c>
      <c r="S88" s="1">
        <v>0.10811985947734799</v>
      </c>
      <c r="T88" s="1">
        <v>0.108120333486006</v>
      </c>
      <c r="U88" s="1">
        <v>0.108120655308885</v>
      </c>
      <c r="V88" s="1">
        <v>0.108120873806688</v>
      </c>
      <c r="W88" s="1">
        <v>0.108121022153051</v>
      </c>
      <c r="X88" s="1">
        <v>0.10812112287091601</v>
      </c>
      <c r="Y88" s="1">
        <v>0.108121191251997</v>
      </c>
      <c r="Z88" s="1">
        <v>0.10812123767843</v>
      </c>
      <c r="AA88" s="1">
        <v>0.108121269199039</v>
      </c>
      <c r="AB88" s="1">
        <v>0.108121290599535</v>
      </c>
      <c r="AC88" s="1">
        <v>0.108121305129114</v>
      </c>
      <c r="AD88" s="1">
        <v>0.108121314993777</v>
      </c>
      <c r="AE88" s="1">
        <v>0.108121321691256</v>
      </c>
      <c r="AF88" s="1">
        <v>0.108121326238419</v>
      </c>
      <c r="AG88" s="1">
        <v>0.10812132932565401</v>
      </c>
      <c r="AH88" s="1">
        <v>0.108121331421691</v>
      </c>
    </row>
    <row r="89" spans="1:34" x14ac:dyDescent="0.25">
      <c r="A89" s="2">
        <v>87</v>
      </c>
      <c r="B89" s="1">
        <v>0.12381758880711501</v>
      </c>
      <c r="C89" s="1">
        <v>0.12432256617305899</v>
      </c>
      <c r="D89" s="1">
        <v>0.12466650904766</v>
      </c>
      <c r="E89" s="1">
        <v>0.124900530464438</v>
      </c>
      <c r="F89" s="1">
        <v>0.125059649771224</v>
      </c>
      <c r="G89" s="1">
        <v>0.12516778947923399</v>
      </c>
      <c r="H89" s="1">
        <v>0.12524125920077001</v>
      </c>
      <c r="I89" s="1">
        <v>0.125291163408458</v>
      </c>
      <c r="J89" s="1">
        <v>0.12532505577015701</v>
      </c>
      <c r="K89" s="1">
        <v>0.12534807140625201</v>
      </c>
      <c r="L89" s="1">
        <v>0.125363699808754</v>
      </c>
      <c r="M89" s="1">
        <v>0.12537431153738701</v>
      </c>
      <c r="N89" s="1">
        <v>0.12538151670462799</v>
      </c>
      <c r="O89" s="1">
        <v>0.12538640877562099</v>
      </c>
      <c r="P89" s="1">
        <v>0.12538973028252001</v>
      </c>
      <c r="Q89" s="1">
        <v>0.12539198542146801</v>
      </c>
      <c r="R89" s="1">
        <v>0.12539351653910399</v>
      </c>
      <c r="S89" s="1">
        <v>0.12539455608064201</v>
      </c>
      <c r="T89" s="1">
        <v>0.125395261867883</v>
      </c>
      <c r="U89" s="1">
        <v>0.12539574105469101</v>
      </c>
      <c r="V89" s="1">
        <v>0.125396066393062</v>
      </c>
      <c r="W89" s="1">
        <v>0.125396287277594</v>
      </c>
      <c r="X89" s="1">
        <v>0.125396437244365</v>
      </c>
      <c r="Y89" s="1">
        <v>0.12539653906237</v>
      </c>
      <c r="Z89" s="1">
        <v>0.12539660819036999</v>
      </c>
      <c r="AA89" s="1">
        <v>0.12539665512390999</v>
      </c>
      <c r="AB89" s="1">
        <v>0.12539668698881201</v>
      </c>
      <c r="AC89" s="1">
        <v>0.12539670862305899</v>
      </c>
      <c r="AD89" s="1">
        <v>0.125396723311341</v>
      </c>
      <c r="AE89" s="1">
        <v>0.125396733283752</v>
      </c>
      <c r="AF89" s="1">
        <v>0.125396740054386</v>
      </c>
      <c r="AG89" s="1">
        <v>0.125396744651216</v>
      </c>
      <c r="AH89" s="1">
        <v>0.125396747772172</v>
      </c>
    </row>
    <row r="90" spans="1:34" x14ac:dyDescent="0.25">
      <c r="A90" s="2">
        <v>88</v>
      </c>
      <c r="B90" s="1">
        <v>0.139828129273494</v>
      </c>
      <c r="C90" s="1">
        <v>0.140530340470294</v>
      </c>
      <c r="D90" s="1">
        <v>0.14100895379592299</v>
      </c>
      <c r="E90" s="1">
        <v>0.141334759943396</v>
      </c>
      <c r="F90" s="1">
        <v>0.14155635789575699</v>
      </c>
      <c r="G90" s="1">
        <v>0.14170699172097301</v>
      </c>
      <c r="H90" s="1">
        <v>0.141809346895519</v>
      </c>
      <c r="I90" s="1">
        <v>0.14187887847261699</v>
      </c>
      <c r="J90" s="1">
        <v>0.14192610394163799</v>
      </c>
      <c r="K90" s="1">
        <v>0.14195817530906099</v>
      </c>
      <c r="L90" s="1">
        <v>0.14197995354471299</v>
      </c>
      <c r="M90" s="1">
        <v>0.14199474134171999</v>
      </c>
      <c r="N90" s="1">
        <v>0.14200478212708501</v>
      </c>
      <c r="O90" s="1">
        <v>0.14201159955614301</v>
      </c>
      <c r="P90" s="1">
        <v>0.142016228329611</v>
      </c>
      <c r="Q90" s="1">
        <v>0.142019371052124</v>
      </c>
      <c r="R90" s="1">
        <v>0.142021504797646</v>
      </c>
      <c r="S90" s="1">
        <v>0.14202295349216401</v>
      </c>
      <c r="T90" s="1">
        <v>0.14202393707147701</v>
      </c>
      <c r="U90" s="1">
        <v>0.14202460486292501</v>
      </c>
      <c r="V90" s="1">
        <v>0.142025058252543</v>
      </c>
      <c r="W90" s="1">
        <v>0.14202536607605001</v>
      </c>
      <c r="X90" s="1">
        <v>0.14202557506900401</v>
      </c>
      <c r="Y90" s="1">
        <v>0.142025716962104</v>
      </c>
      <c r="Z90" s="1">
        <v>0.142025813298578</v>
      </c>
      <c r="AA90" s="1">
        <v>0.142025878704958</v>
      </c>
      <c r="AB90" s="1">
        <v>0.14202592311175</v>
      </c>
      <c r="AC90" s="1">
        <v>0.142025953261148</v>
      </c>
      <c r="AD90" s="1">
        <v>0.14202597373067699</v>
      </c>
      <c r="AE90" s="1">
        <v>0.14202598762818799</v>
      </c>
      <c r="AF90" s="1">
        <v>0.14202599706371599</v>
      </c>
      <c r="AG90" s="1">
        <v>0.14202600346984001</v>
      </c>
      <c r="AH90" s="1">
        <v>0.142026007819192</v>
      </c>
    </row>
    <row r="91" spans="1:34" x14ac:dyDescent="0.25">
      <c r="A91" s="2">
        <v>89</v>
      </c>
      <c r="B91" s="1">
        <v>0.14502248124206699</v>
      </c>
      <c r="C91" s="1">
        <v>0.145836511656874</v>
      </c>
      <c r="D91" s="1">
        <v>0.14639158385013201</v>
      </c>
      <c r="E91" s="1">
        <v>0.146769550945232</v>
      </c>
      <c r="F91" s="1">
        <v>0.14702667852239901</v>
      </c>
      <c r="G91" s="1">
        <v>0.14720148811407399</v>
      </c>
      <c r="H91" s="1">
        <v>0.14732028174725401</v>
      </c>
      <c r="I91" s="1">
        <v>0.14740098536499599</v>
      </c>
      <c r="J91" s="1">
        <v>0.14745580118458201</v>
      </c>
      <c r="K91" s="1">
        <v>0.147493028336322</v>
      </c>
      <c r="L91" s="1">
        <v>0.147518308137079</v>
      </c>
      <c r="M91" s="1">
        <v>0.14753547378843501</v>
      </c>
      <c r="N91" s="1">
        <v>0.147547129222838</v>
      </c>
      <c r="O91" s="1">
        <v>0.14755504300526801</v>
      </c>
      <c r="P91" s="1">
        <v>0.147560416183385</v>
      </c>
      <c r="Q91" s="1">
        <v>0.14756406433257699</v>
      </c>
      <c r="R91" s="1">
        <v>0.147566541241405</v>
      </c>
      <c r="S91" s="1">
        <v>0.147568222926938</v>
      </c>
      <c r="T91" s="1">
        <v>0.14756936469462201</v>
      </c>
      <c r="U91" s="1">
        <v>0.14757013988697101</v>
      </c>
      <c r="V91" s="1">
        <v>0.147570666195461</v>
      </c>
      <c r="W91" s="1">
        <v>0.147571023526471</v>
      </c>
      <c r="X91" s="1">
        <v>0.14757126613197799</v>
      </c>
      <c r="Y91" s="1">
        <v>0.14757143084591301</v>
      </c>
      <c r="Z91" s="1">
        <v>0.14757154267630601</v>
      </c>
      <c r="AA91" s="1">
        <v>0.14757161860208201</v>
      </c>
      <c r="AB91" s="1">
        <v>0.14757167015087999</v>
      </c>
      <c r="AC91" s="1">
        <v>0.147571705149249</v>
      </c>
      <c r="AD91" s="1">
        <v>0.14757172891092199</v>
      </c>
      <c r="AE91" s="1">
        <v>0.14757174504359</v>
      </c>
      <c r="AF91" s="1">
        <v>0.14757175599664801</v>
      </c>
      <c r="AG91" s="1">
        <v>0.14757176343307901</v>
      </c>
      <c r="AH91" s="1">
        <v>0.14757176848194301</v>
      </c>
    </row>
    <row r="92" spans="1:34" x14ac:dyDescent="0.25">
      <c r="A92" s="2">
        <v>90</v>
      </c>
      <c r="B92" s="1">
        <v>0.14743913339932599</v>
      </c>
      <c r="C92" s="1">
        <v>0.148295445633397</v>
      </c>
      <c r="D92" s="1">
        <v>0.14887943236509499</v>
      </c>
      <c r="E92" s="1">
        <v>0.14927712680115099</v>
      </c>
      <c r="F92" s="1">
        <v>0.14954769245778099</v>
      </c>
      <c r="G92" s="1">
        <v>0.14973164618755899</v>
      </c>
      <c r="H92" s="1">
        <v>0.14985665758758701</v>
      </c>
      <c r="I92" s="1">
        <v>0.149941587046654</v>
      </c>
      <c r="J92" s="1">
        <v>0.14999927396078599</v>
      </c>
      <c r="K92" s="1">
        <v>0.150038451333316</v>
      </c>
      <c r="L92" s="1">
        <v>0.150065055638888</v>
      </c>
      <c r="M92" s="1">
        <v>0.150083120742556</v>
      </c>
      <c r="N92" s="1">
        <v>0.15009538693907401</v>
      </c>
      <c r="O92" s="1">
        <v>0.15010371543218901</v>
      </c>
      <c r="P92" s="1">
        <v>0.150109370191882</v>
      </c>
      <c r="Q92" s="1">
        <v>0.15011320952600099</v>
      </c>
      <c r="R92" s="1">
        <v>0.150115816241364</v>
      </c>
      <c r="S92" s="1">
        <v>0.15011758605918299</v>
      </c>
      <c r="T92" s="1">
        <v>0.150118787663965</v>
      </c>
      <c r="U92" s="1">
        <v>0.15011960348230499</v>
      </c>
      <c r="V92" s="1">
        <v>0.150120157373447</v>
      </c>
      <c r="W92" s="1">
        <v>0.15012053343141199</v>
      </c>
      <c r="X92" s="1">
        <v>0.15012078875137</v>
      </c>
      <c r="Y92" s="1">
        <v>0.15012096209762801</v>
      </c>
      <c r="Z92" s="1">
        <v>0.15012107978882799</v>
      </c>
      <c r="AA92" s="1">
        <v>0.150121159693723</v>
      </c>
      <c r="AB92" s="1">
        <v>0.150121213944093</v>
      </c>
      <c r="AC92" s="1">
        <v>0.150121250776658</v>
      </c>
      <c r="AD92" s="1">
        <v>0.15012127578363399</v>
      </c>
      <c r="AE92" s="1">
        <v>0.15012129276178399</v>
      </c>
      <c r="AF92" s="1">
        <v>0.15012130428886999</v>
      </c>
      <c r="AG92" s="1">
        <v>0.15012131211502999</v>
      </c>
      <c r="AH92" s="1">
        <v>0.15012131742849499</v>
      </c>
    </row>
    <row r="93" spans="1:34" x14ac:dyDescent="0.25">
      <c r="A93" s="2">
        <v>91</v>
      </c>
      <c r="B93" s="1">
        <v>0.160751076812814</v>
      </c>
      <c r="C93" s="1">
        <v>0.161768633470878</v>
      </c>
      <c r="D93" s="1">
        <v>0.16246283434145101</v>
      </c>
      <c r="E93" s="1">
        <v>0.162935699304216</v>
      </c>
      <c r="F93" s="1">
        <v>0.16325745908205699</v>
      </c>
      <c r="G93" s="1">
        <v>0.16347624337515601</v>
      </c>
      <c r="H93" s="1">
        <v>0.16362493620745899</v>
      </c>
      <c r="I93" s="1">
        <v>0.16372595939764001</v>
      </c>
      <c r="J93" s="1">
        <v>0.16379458010126499</v>
      </c>
      <c r="K93" s="1">
        <v>0.163841184127786</v>
      </c>
      <c r="L93" s="1">
        <v>0.16387283218367901</v>
      </c>
      <c r="M93" s="1">
        <v>0.163894322376028</v>
      </c>
      <c r="N93" s="1">
        <v>0.163908914314082</v>
      </c>
      <c r="O93" s="1">
        <v>0.16391882198726501</v>
      </c>
      <c r="P93" s="1">
        <v>0.16392554897872899</v>
      </c>
      <c r="Q93" s="1">
        <v>0.16393011632182999</v>
      </c>
      <c r="R93" s="1">
        <v>0.163933217323665</v>
      </c>
      <c r="S93" s="1">
        <v>0.16393532273733699</v>
      </c>
      <c r="T93" s="1">
        <v>0.16393675219348999</v>
      </c>
      <c r="U93" s="1">
        <v>0.16393772270986701</v>
      </c>
      <c r="V93" s="1">
        <v>0.16393838163180699</v>
      </c>
      <c r="W93" s="1">
        <v>0.163938828999315</v>
      </c>
      <c r="X93" s="1">
        <v>0.16393913273406399</v>
      </c>
      <c r="Y93" s="1">
        <v>0.163939338950952</v>
      </c>
      <c r="Z93" s="1">
        <v>0.16393947895925201</v>
      </c>
      <c r="AA93" s="1">
        <v>0.163939574016055</v>
      </c>
      <c r="AB93" s="1">
        <v>0.16393963855361299</v>
      </c>
      <c r="AC93" s="1">
        <v>0.163939682370527</v>
      </c>
      <c r="AD93" s="1">
        <v>0.163939712119435</v>
      </c>
      <c r="AE93" s="1">
        <v>0.163939732317055</v>
      </c>
      <c r="AF93" s="1">
        <v>0.16393974602995801</v>
      </c>
      <c r="AG93" s="1">
        <v>0.16393975534014801</v>
      </c>
      <c r="AH93" s="1">
        <v>0.16393976166117599</v>
      </c>
    </row>
    <row r="94" spans="1:34" x14ac:dyDescent="0.25">
      <c r="A94" s="2">
        <v>92</v>
      </c>
      <c r="B94" s="1">
        <v>0.17992996212797599</v>
      </c>
      <c r="C94" s="1">
        <v>0.18119364714860101</v>
      </c>
      <c r="D94" s="1">
        <v>0.18205615790336099</v>
      </c>
      <c r="E94" s="1">
        <v>0.182643851859488</v>
      </c>
      <c r="F94" s="1">
        <v>0.18304383076903699</v>
      </c>
      <c r="G94" s="1">
        <v>0.183315839804602</v>
      </c>
      <c r="H94" s="1">
        <v>0.18350072373766199</v>
      </c>
      <c r="I94" s="1">
        <v>0.18362634370434699</v>
      </c>
      <c r="J94" s="1">
        <v>0.18371167573347799</v>
      </c>
      <c r="K94" s="1">
        <v>0.18376963107282401</v>
      </c>
      <c r="L94" s="1">
        <v>0.18380898843158</v>
      </c>
      <c r="M94" s="1">
        <v>0.18383571389535</v>
      </c>
      <c r="N94" s="1">
        <v>0.18385386077773999</v>
      </c>
      <c r="O94" s="1">
        <v>0.18386618227551399</v>
      </c>
      <c r="P94" s="1">
        <v>0.18387454821264601</v>
      </c>
      <c r="Q94" s="1">
        <v>0.18388022834741499</v>
      </c>
      <c r="R94" s="1">
        <v>0.18388408488791899</v>
      </c>
      <c r="S94" s="1">
        <v>0.183886703275328</v>
      </c>
      <c r="T94" s="1">
        <v>0.183888481013119</v>
      </c>
      <c r="U94" s="1">
        <v>0.18388968799293401</v>
      </c>
      <c r="V94" s="1">
        <v>0.183890507459602</v>
      </c>
      <c r="W94" s="1">
        <v>0.18389106382727499</v>
      </c>
      <c r="X94" s="1">
        <v>0.183891441566439</v>
      </c>
      <c r="Y94" s="1">
        <v>0.18389169802772901</v>
      </c>
      <c r="Z94" s="1">
        <v>0.18389187214883401</v>
      </c>
      <c r="AA94" s="1">
        <v>0.183891990366086</v>
      </c>
      <c r="AB94" s="1">
        <v>0.18389207062812801</v>
      </c>
      <c r="AC94" s="1">
        <v>0.183892125120973</v>
      </c>
      <c r="AD94" s="1">
        <v>0.18389216211816101</v>
      </c>
      <c r="AE94" s="1">
        <v>0.18389218723690501</v>
      </c>
      <c r="AF94" s="1">
        <v>0.183892204290938</v>
      </c>
      <c r="AG94" s="1">
        <v>0.18389221586954399</v>
      </c>
      <c r="AH94" s="1">
        <v>0.18389222373068201</v>
      </c>
    </row>
    <row r="95" spans="1:34" x14ac:dyDescent="0.25">
      <c r="A95" s="2">
        <v>93</v>
      </c>
      <c r="B95" s="1">
        <v>0.19196617320968801</v>
      </c>
      <c r="C95" s="1">
        <v>0.19336197170578601</v>
      </c>
      <c r="D95" s="1">
        <v>0.19431478882769401</v>
      </c>
      <c r="E95" s="1">
        <v>0.19496407703610699</v>
      </c>
      <c r="F95" s="1">
        <v>0.19540600478929601</v>
      </c>
      <c r="G95" s="1">
        <v>0.19570655455752201</v>
      </c>
      <c r="H95" s="1">
        <v>0.19591084358120101</v>
      </c>
      <c r="I95" s="1">
        <v>0.19604965117009199</v>
      </c>
      <c r="J95" s="1">
        <v>0.196143942659115</v>
      </c>
      <c r="K95" s="1">
        <v>0.196207983624029</v>
      </c>
      <c r="L95" s="1">
        <v>0.196251473990669</v>
      </c>
      <c r="M95" s="1">
        <v>0.19628100608268001</v>
      </c>
      <c r="N95" s="1">
        <v>0.196301058754004</v>
      </c>
      <c r="O95" s="1">
        <v>0.19631467428431501</v>
      </c>
      <c r="P95" s="1">
        <v>0.196323918843994</v>
      </c>
      <c r="Q95" s="1">
        <v>0.19633019553377201</v>
      </c>
      <c r="R95" s="1">
        <v>0.196334457109267</v>
      </c>
      <c r="S95" s="1">
        <v>0.196337350495252</v>
      </c>
      <c r="T95" s="1">
        <v>0.196339314942163</v>
      </c>
      <c r="U95" s="1">
        <v>0.19634064868678699</v>
      </c>
      <c r="V95" s="1">
        <v>0.19634155421925001</v>
      </c>
      <c r="W95" s="1">
        <v>0.19634216902038101</v>
      </c>
      <c r="X95" s="1">
        <v>0.19634258643226499</v>
      </c>
      <c r="Y95" s="1">
        <v>0.19634286982886501</v>
      </c>
      <c r="Z95" s="1">
        <v>0.19634306223735901</v>
      </c>
      <c r="AA95" s="1">
        <v>0.19634319287059701</v>
      </c>
      <c r="AB95" s="1">
        <v>0.19634328156231101</v>
      </c>
      <c r="AC95" s="1">
        <v>0.19634334177836901</v>
      </c>
      <c r="AD95" s="1">
        <v>0.196343382661257</v>
      </c>
      <c r="AE95" s="1">
        <v>0.19634341041814399</v>
      </c>
      <c r="AF95" s="1">
        <v>0.196343429263309</v>
      </c>
      <c r="AG95" s="1">
        <v>0.19634344205797999</v>
      </c>
      <c r="AH95" s="1">
        <v>0.19634345074474899</v>
      </c>
    </row>
    <row r="96" spans="1:34" x14ac:dyDescent="0.25">
      <c r="A96" s="2">
        <v>94</v>
      </c>
      <c r="B96" s="1">
        <v>0.19872536729401299</v>
      </c>
      <c r="C96" s="1">
        <v>0.200140014466511</v>
      </c>
      <c r="D96" s="1">
        <v>0.20110556482179201</v>
      </c>
      <c r="E96" s="1">
        <v>0.20176346822812999</v>
      </c>
      <c r="F96" s="1">
        <v>0.20221123125153201</v>
      </c>
      <c r="G96" s="1">
        <v>0.20251573634594799</v>
      </c>
      <c r="H96" s="1">
        <v>0.20272270779732099</v>
      </c>
      <c r="I96" s="1">
        <v>0.20286333520282299</v>
      </c>
      <c r="J96" s="1">
        <v>0.20295886159361901</v>
      </c>
      <c r="K96" s="1">
        <v>0.20302374068383</v>
      </c>
      <c r="L96" s="1">
        <v>0.203067799948394</v>
      </c>
      <c r="M96" s="1">
        <v>0.203097718223263</v>
      </c>
      <c r="N96" s="1">
        <v>0.20311803305930501</v>
      </c>
      <c r="O96" s="1">
        <v>0.20313182656947201</v>
      </c>
      <c r="P96" s="1">
        <v>0.20314119196002001</v>
      </c>
      <c r="Q96" s="1">
        <v>0.203147550683449</v>
      </c>
      <c r="R96" s="1">
        <v>0.203151867953273</v>
      </c>
      <c r="S96" s="1">
        <v>0.20315479915156801</v>
      </c>
      <c r="T96" s="1">
        <v>0.20315678927035699</v>
      </c>
      <c r="U96" s="1">
        <v>0.20315814044442801</v>
      </c>
      <c r="V96" s="1">
        <v>0.20315905781031901</v>
      </c>
      <c r="W96" s="1">
        <v>0.203159680645568</v>
      </c>
      <c r="X96" s="1">
        <v>0.20316010351209601</v>
      </c>
      <c r="Y96" s="1">
        <v>0.20316039061204599</v>
      </c>
      <c r="Z96" s="1">
        <v>0.20316058553487701</v>
      </c>
      <c r="AA96" s="1">
        <v>0.203160717875189</v>
      </c>
      <c r="AB96" s="1">
        <v>0.20316080772589701</v>
      </c>
      <c r="AC96" s="1">
        <v>0.20316086872883801</v>
      </c>
      <c r="AD96" s="1">
        <v>0.20316091014596899</v>
      </c>
      <c r="AE96" s="1">
        <v>0.20316093826557399</v>
      </c>
      <c r="AF96" s="1">
        <v>0.20316095735700099</v>
      </c>
      <c r="AG96" s="1">
        <v>0.20316097031886801</v>
      </c>
      <c r="AH96" s="1">
        <v>0.20316097911915201</v>
      </c>
    </row>
    <row r="97" spans="1:34" x14ac:dyDescent="0.25">
      <c r="A97" s="2">
        <v>95</v>
      </c>
      <c r="B97" s="1">
        <v>1</v>
      </c>
      <c r="C97" s="1">
        <v>1</v>
      </c>
      <c r="D97" s="1">
        <v>1</v>
      </c>
      <c r="E97" s="1">
        <v>1</v>
      </c>
      <c r="F97" s="1">
        <v>1</v>
      </c>
      <c r="G97" s="1">
        <v>1</v>
      </c>
      <c r="H97" s="1">
        <v>1</v>
      </c>
      <c r="I97" s="1">
        <v>1</v>
      </c>
      <c r="J97" s="1">
        <v>1</v>
      </c>
      <c r="K97" s="1">
        <v>1</v>
      </c>
      <c r="L97" s="1">
        <v>1</v>
      </c>
      <c r="M97" s="1">
        <v>1</v>
      </c>
      <c r="N97" s="1">
        <v>1</v>
      </c>
      <c r="O97" s="1">
        <v>1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U97" s="1">
        <v>1</v>
      </c>
      <c r="V97" s="1">
        <v>1</v>
      </c>
      <c r="W97" s="1">
        <v>1</v>
      </c>
      <c r="X97" s="1">
        <v>1</v>
      </c>
      <c r="Y97" s="1">
        <v>1</v>
      </c>
      <c r="Z97" s="1">
        <v>1</v>
      </c>
      <c r="AA97" s="1">
        <v>1</v>
      </c>
      <c r="AB97" s="1">
        <v>1</v>
      </c>
      <c r="AC97" s="1">
        <v>1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</row>
    <row r="100" spans="1:34" x14ac:dyDescent="0.25">
      <c r="B100">
        <f>1-(B37+B38)</f>
        <v>0.99498634237306927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H97"/>
  <sheetViews>
    <sheetView workbookViewId="0">
      <selection sqref="A1:AH1"/>
    </sheetView>
  </sheetViews>
  <sheetFormatPr baseColWidth="10" defaultColWidth="8.85546875" defaultRowHeight="15" x14ac:dyDescent="0.25"/>
  <sheetData>
    <row r="1" spans="1:3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</row>
    <row r="2" spans="1:34" x14ac:dyDescent="0.25">
      <c r="A2" s="2">
        <v>0</v>
      </c>
      <c r="B2" s="1">
        <v>6.9090728809883704E-3</v>
      </c>
      <c r="C2" s="1">
        <v>6.8711382720783899E-3</v>
      </c>
      <c r="D2" s="1">
        <v>6.8456257315317303E-3</v>
      </c>
      <c r="E2" s="1">
        <v>6.8284419206544097E-3</v>
      </c>
      <c r="F2" s="1">
        <v>6.8168562056067699E-3</v>
      </c>
      <c r="G2" s="1">
        <v>6.8090395344493097E-3</v>
      </c>
      <c r="H2" s="1">
        <v>6.8037633425349396E-3</v>
      </c>
      <c r="I2" s="1">
        <v>6.8002008474074898E-3</v>
      </c>
      <c r="J2" s="1">
        <v>6.7977949386515499E-3</v>
      </c>
      <c r="K2" s="1">
        <v>6.7961698927601899E-3</v>
      </c>
      <c r="L2" s="1">
        <v>6.7950721673208699E-3</v>
      </c>
      <c r="M2" s="1">
        <v>6.7943306010829502E-3</v>
      </c>
      <c r="N2" s="1">
        <v>6.7938296155685002E-3</v>
      </c>
      <c r="O2" s="1">
        <v>6.7934911509895304E-3</v>
      </c>
      <c r="P2" s="1">
        <v>6.7932624805874201E-3</v>
      </c>
      <c r="Q2" s="1">
        <v>6.7931079862574399E-3</v>
      </c>
      <c r="R2" s="1">
        <v>6.7930036058243999E-3</v>
      </c>
      <c r="S2" s="1">
        <v>6.79293308322394E-3</v>
      </c>
      <c r="T2" s="1">
        <v>6.7928854358083402E-3</v>
      </c>
      <c r="U2" s="1">
        <v>6.7928532435383203E-3</v>
      </c>
      <c r="V2" s="1">
        <v>6.7928314932669803E-3</v>
      </c>
      <c r="W2" s="1">
        <v>6.7928167979718103E-3</v>
      </c>
      <c r="X2" s="1">
        <v>6.7928068692732499E-3</v>
      </c>
      <c r="Y2" s="1">
        <v>6.7928001610641497E-3</v>
      </c>
      <c r="Z2" s="1">
        <v>6.7927956287393097E-3</v>
      </c>
      <c r="AA2" s="1">
        <v>6.7927925665249899E-3</v>
      </c>
      <c r="AB2" s="1">
        <v>6.7927904975739403E-3</v>
      </c>
      <c r="AC2" s="1">
        <v>6.7927890997100003E-3</v>
      </c>
      <c r="AD2" s="1">
        <v>6.79278815525859E-3</v>
      </c>
      <c r="AE2" s="1">
        <v>6.7927875171503197E-3</v>
      </c>
      <c r="AF2" s="1">
        <v>6.79278708601945E-3</v>
      </c>
      <c r="AG2" s="1">
        <v>6.7927867947305699E-3</v>
      </c>
      <c r="AH2" s="1">
        <v>6.7927865979244099E-3</v>
      </c>
    </row>
    <row r="3" spans="1:34" x14ac:dyDescent="0.25">
      <c r="A3" s="2">
        <v>1</v>
      </c>
      <c r="B3" s="1">
        <v>2.5828551668809199E-3</v>
      </c>
      <c r="C3" s="1">
        <v>2.56037900779143E-3</v>
      </c>
      <c r="D3" s="1">
        <v>2.54530391416323E-3</v>
      </c>
      <c r="E3" s="1">
        <v>2.5351688028502802E-3</v>
      </c>
      <c r="F3" s="1">
        <v>2.5283439505048998E-3</v>
      </c>
      <c r="G3" s="1">
        <v>2.5237432033472702E-3</v>
      </c>
      <c r="H3" s="1">
        <v>2.5206394924694002E-3</v>
      </c>
      <c r="I3" s="1">
        <v>2.51854466214705E-3</v>
      </c>
      <c r="J3" s="1">
        <v>2.51713029714115E-3</v>
      </c>
      <c r="K3" s="1">
        <v>2.5161751458686399E-3</v>
      </c>
      <c r="L3" s="1">
        <v>2.5155300132064201E-3</v>
      </c>
      <c r="M3" s="1">
        <v>2.5150942298502199E-3</v>
      </c>
      <c r="N3" s="1">
        <v>2.5147998402426501E-3</v>
      </c>
      <c r="O3" s="1">
        <v>2.5146009585845898E-3</v>
      </c>
      <c r="P3" s="1">
        <v>2.5144665952457602E-3</v>
      </c>
      <c r="Q3" s="1">
        <v>2.5143758181749702E-3</v>
      </c>
      <c r="R3" s="1">
        <v>2.51431448748637E-3</v>
      </c>
      <c r="S3" s="1">
        <v>2.5142730509188499E-3</v>
      </c>
      <c r="T3" s="1">
        <v>2.51424505513838E-3</v>
      </c>
      <c r="U3" s="1">
        <v>2.5142261402697698E-3</v>
      </c>
      <c r="V3" s="1">
        <v>2.5142133607247898E-3</v>
      </c>
      <c r="W3" s="1">
        <v>2.5142047264008201E-3</v>
      </c>
      <c r="X3" s="1">
        <v>2.51419889273043E-3</v>
      </c>
      <c r="Y3" s="1">
        <v>2.51419495128208E-3</v>
      </c>
      <c r="Z3" s="1">
        <v>2.5141922882888201E-3</v>
      </c>
      <c r="AA3" s="1">
        <v>2.5141904890679601E-3</v>
      </c>
      <c r="AB3" s="1">
        <v>2.5141892734446701E-3</v>
      </c>
      <c r="AC3" s="1">
        <v>2.5141884521223301E-3</v>
      </c>
      <c r="AD3" s="1">
        <v>2.5141878972049802E-3</v>
      </c>
      <c r="AE3" s="1">
        <v>2.5141875222811599E-3</v>
      </c>
      <c r="AF3" s="1">
        <v>2.51418726896799E-3</v>
      </c>
      <c r="AG3" s="1">
        <v>2.51418709781972E-3</v>
      </c>
      <c r="AH3" s="1">
        <v>2.5141869821852501E-3</v>
      </c>
    </row>
    <row r="4" spans="1:34" x14ac:dyDescent="0.25">
      <c r="A4" s="2">
        <v>2</v>
      </c>
      <c r="B4" s="1">
        <v>7.8637332398446896E-4</v>
      </c>
      <c r="C4" s="1">
        <v>7.76641900342285E-4</v>
      </c>
      <c r="D4" s="1">
        <v>7.7013520437158598E-4</v>
      </c>
      <c r="E4" s="1">
        <v>7.6576989998617295E-4</v>
      </c>
      <c r="F4" s="1">
        <v>7.6283453919634805E-4</v>
      </c>
      <c r="G4" s="1">
        <v>7.6085766407035598E-4</v>
      </c>
      <c r="H4" s="1">
        <v>7.5952490955501705E-4</v>
      </c>
      <c r="I4" s="1">
        <v>7.5862576968366096E-4</v>
      </c>
      <c r="J4" s="1">
        <v>7.5801887797805403E-4</v>
      </c>
      <c r="K4" s="1">
        <v>7.5760911293938301E-4</v>
      </c>
      <c r="L4" s="1">
        <v>7.5733238499152997E-4</v>
      </c>
      <c r="M4" s="1">
        <v>7.5714547395852204E-4</v>
      </c>
      <c r="N4" s="1">
        <v>7.5701921565357101E-4</v>
      </c>
      <c r="O4" s="1">
        <v>7.5693392251566303E-4</v>
      </c>
      <c r="P4" s="1">
        <v>7.5687630057177599E-4</v>
      </c>
      <c r="Q4" s="1">
        <v>7.5683737141368898E-4</v>
      </c>
      <c r="R4" s="1">
        <v>7.5681107048407097E-4</v>
      </c>
      <c r="S4" s="1">
        <v>7.5679330106396896E-4</v>
      </c>
      <c r="T4" s="1">
        <v>7.5678129558446E-4</v>
      </c>
      <c r="U4" s="1">
        <v>7.5677318432046197E-4</v>
      </c>
      <c r="V4" s="1">
        <v>7.5676770408227999E-4</v>
      </c>
      <c r="W4" s="1">
        <v>7.5676400144136303E-4</v>
      </c>
      <c r="X4" s="1">
        <v>7.5676149980251502E-4</v>
      </c>
      <c r="Y4" s="1">
        <v>7.5675980960209302E-4</v>
      </c>
      <c r="Z4" s="1">
        <v>7.5675866763868095E-4</v>
      </c>
      <c r="AA4" s="1">
        <v>7.5675789608448596E-4</v>
      </c>
      <c r="AB4" s="1">
        <v>7.56757374792725E-4</v>
      </c>
      <c r="AC4" s="1">
        <v>7.5675702258781404E-4</v>
      </c>
      <c r="AD4" s="1">
        <v>7.5675678462448705E-4</v>
      </c>
      <c r="AE4" s="1">
        <v>7.5675662384719301E-4</v>
      </c>
      <c r="AF4" s="1">
        <v>7.5675651521977996E-4</v>
      </c>
      <c r="AG4" s="1">
        <v>7.5675644182685801E-4</v>
      </c>
      <c r="AH4" s="1">
        <v>7.5675639223973302E-4</v>
      </c>
    </row>
    <row r="5" spans="1:34" x14ac:dyDescent="0.25">
      <c r="A5" s="2">
        <v>3</v>
      </c>
      <c r="B5" s="1">
        <v>3.9816246466300098E-4</v>
      </c>
      <c r="C5" s="1">
        <v>3.9379521762336801E-4</v>
      </c>
      <c r="D5" s="1">
        <v>3.9087167726773201E-4</v>
      </c>
      <c r="E5" s="1">
        <v>3.8890871256318298E-4</v>
      </c>
      <c r="F5" s="1">
        <v>3.87588039026159E-4</v>
      </c>
      <c r="G5" s="1">
        <v>3.8669827942835398E-4</v>
      </c>
      <c r="H5" s="1">
        <v>3.8609827930859402E-4</v>
      </c>
      <c r="I5" s="1">
        <v>3.8569342271666099E-4</v>
      </c>
      <c r="J5" s="1">
        <v>3.8542012604976799E-4</v>
      </c>
      <c r="K5" s="1">
        <v>3.8523558573449101E-4</v>
      </c>
      <c r="L5" s="1">
        <v>3.8511095308536099E-4</v>
      </c>
      <c r="M5" s="1">
        <v>3.8502676921134198E-4</v>
      </c>
      <c r="N5" s="1">
        <v>3.8496990170680599E-4</v>
      </c>
      <c r="O5" s="1">
        <v>3.8493148454898799E-4</v>
      </c>
      <c r="P5" s="1">
        <v>3.8490553058354298E-4</v>
      </c>
      <c r="Q5" s="1">
        <v>3.8488799605922999E-4</v>
      </c>
      <c r="R5" s="1">
        <v>3.8487614950050999E-4</v>
      </c>
      <c r="S5" s="1">
        <v>3.84868145708212E-4</v>
      </c>
      <c r="T5" s="1">
        <v>3.8486273812712401E-4</v>
      </c>
      <c r="U5" s="1">
        <v>3.8485908459672799E-4</v>
      </c>
      <c r="V5" s="1">
        <v>3.84856616148249E-4</v>
      </c>
      <c r="W5" s="1">
        <v>3.8485494837681801E-4</v>
      </c>
      <c r="X5" s="1">
        <v>3.8485382156926601E-4</v>
      </c>
      <c r="Y5" s="1">
        <v>3.8485306025585499E-4</v>
      </c>
      <c r="Z5" s="1">
        <v>3.84852545883574E-4</v>
      </c>
      <c r="AA5" s="1">
        <v>3.8485219835392203E-4</v>
      </c>
      <c r="AB5" s="1">
        <v>3.8485196354946701E-4</v>
      </c>
      <c r="AC5" s="1">
        <v>3.8485180490646902E-4</v>
      </c>
      <c r="AD5" s="1">
        <v>3.8485169772108899E-4</v>
      </c>
      <c r="AE5" s="1">
        <v>3.84851625302469E-4</v>
      </c>
      <c r="AF5" s="1">
        <v>3.8485157637362203E-4</v>
      </c>
      <c r="AG5" s="1">
        <v>3.8485154331538299E-4</v>
      </c>
      <c r="AH5" s="1">
        <v>3.8485152097994399E-4</v>
      </c>
    </row>
    <row r="6" spans="1:34" x14ac:dyDescent="0.25">
      <c r="A6" s="2">
        <v>4</v>
      </c>
      <c r="B6" s="1">
        <v>3.99578180312594E-4</v>
      </c>
      <c r="C6" s="1">
        <v>3.9688143262890999E-4</v>
      </c>
      <c r="D6" s="1">
        <v>3.9506971239629702E-4</v>
      </c>
      <c r="E6" s="1">
        <v>3.9385032621972301E-4</v>
      </c>
      <c r="F6" s="1">
        <v>3.93028591956986E-4</v>
      </c>
      <c r="G6" s="1">
        <v>3.9247436666377001E-4</v>
      </c>
      <c r="H6" s="1">
        <v>3.9210035274663701E-4</v>
      </c>
      <c r="I6" s="1">
        <v>3.9184785604664797E-4</v>
      </c>
      <c r="J6" s="1">
        <v>3.9167735142419302E-4</v>
      </c>
      <c r="K6" s="1">
        <v>3.9156219381985299E-4</v>
      </c>
      <c r="L6" s="1">
        <v>3.91484407998352E-4</v>
      </c>
      <c r="M6" s="1">
        <v>3.9143186159896202E-4</v>
      </c>
      <c r="N6" s="1">
        <v>3.9139636318694299E-4</v>
      </c>
      <c r="O6" s="1">
        <v>3.9137238089261798E-4</v>
      </c>
      <c r="P6" s="1">
        <v>3.9135617834773901E-4</v>
      </c>
      <c r="Q6" s="1">
        <v>3.9134523165399398E-4</v>
      </c>
      <c r="R6" s="1">
        <v>3.9133783581261498E-4</v>
      </c>
      <c r="S6" s="1">
        <v>3.9133283897186202E-4</v>
      </c>
      <c r="T6" s="1">
        <v>3.9132946294681803E-4</v>
      </c>
      <c r="U6" s="1">
        <v>3.9132718198866802E-4</v>
      </c>
      <c r="V6" s="1">
        <v>3.9132564089160599E-4</v>
      </c>
      <c r="W6" s="1">
        <v>3.9132459966955698E-4</v>
      </c>
      <c r="X6" s="1">
        <v>3.9132389618076399E-4</v>
      </c>
      <c r="Y6" s="1">
        <v>3.91323420876921E-4</v>
      </c>
      <c r="Z6" s="1">
        <v>3.9132309974337101E-4</v>
      </c>
      <c r="AA6" s="1">
        <v>3.91322882773127E-4</v>
      </c>
      <c r="AB6" s="1">
        <v>3.9132273617960799E-4</v>
      </c>
      <c r="AC6" s="1">
        <v>3.91322637135321E-4</v>
      </c>
      <c r="AD6" s="1">
        <v>3.9132257021713798E-4</v>
      </c>
      <c r="AE6" s="1">
        <v>3.9132252500460201E-4</v>
      </c>
      <c r="AF6" s="1">
        <v>3.91322494457247E-4</v>
      </c>
      <c r="AG6" s="1">
        <v>3.9132247381825898E-4</v>
      </c>
      <c r="AH6" s="1">
        <v>3.9132245987375203E-4</v>
      </c>
    </row>
    <row r="7" spans="1:34" x14ac:dyDescent="0.25">
      <c r="A7" s="2">
        <v>5</v>
      </c>
      <c r="B7" s="1">
        <v>4.1753264017047802E-4</v>
      </c>
      <c r="C7" s="1">
        <v>4.1540732244802403E-4</v>
      </c>
      <c r="D7" s="1">
        <v>4.1397750055474901E-4</v>
      </c>
      <c r="E7" s="1">
        <v>4.1301424322556698E-4</v>
      </c>
      <c r="F7" s="1">
        <v>4.1236469767829602E-4</v>
      </c>
      <c r="G7" s="1">
        <v>4.11926417522307E-4</v>
      </c>
      <c r="H7" s="1">
        <v>4.11630561959988E-4</v>
      </c>
      <c r="I7" s="1">
        <v>4.1143079063223103E-4</v>
      </c>
      <c r="J7" s="1">
        <v>4.11295872178408E-4</v>
      </c>
      <c r="K7" s="1">
        <v>4.11204741031425E-4</v>
      </c>
      <c r="L7" s="1">
        <v>4.1114318069017798E-4</v>
      </c>
      <c r="M7" s="1">
        <v>4.1110159333046899E-4</v>
      </c>
      <c r="N7" s="1">
        <v>4.1107349766354598E-4</v>
      </c>
      <c r="O7" s="1">
        <v>4.1105451621820598E-4</v>
      </c>
      <c r="P7" s="1">
        <v>4.1104169210697499E-4</v>
      </c>
      <c r="Q7" s="1">
        <v>4.1103302786201298E-4</v>
      </c>
      <c r="R7" s="1">
        <v>4.11027174062419E-4</v>
      </c>
      <c r="S7" s="1">
        <v>4.1102321905351897E-4</v>
      </c>
      <c r="T7" s="1">
        <v>4.1102054691627302E-4</v>
      </c>
      <c r="U7" s="1">
        <v>4.1101874152561302E-4</v>
      </c>
      <c r="V7" s="1">
        <v>4.1101752173752098E-4</v>
      </c>
      <c r="W7" s="1">
        <v>4.1101669760299999E-4</v>
      </c>
      <c r="X7" s="1">
        <v>4.1101614078640299E-4</v>
      </c>
      <c r="Y7" s="1">
        <v>4.1101576457974699E-4</v>
      </c>
      <c r="Z7" s="1">
        <v>4.11015510400003E-4</v>
      </c>
      <c r="AA7" s="1">
        <v>4.1101533866630998E-4</v>
      </c>
      <c r="AB7" s="1">
        <v>4.11015222636347E-4</v>
      </c>
      <c r="AC7" s="1">
        <v>4.11015144241982E-4</v>
      </c>
      <c r="AD7" s="1">
        <v>4.1101509127569E-4</v>
      </c>
      <c r="AE7" s="1">
        <v>4.1101505548959402E-4</v>
      </c>
      <c r="AF7" s="1">
        <v>4.1101503131110901E-4</v>
      </c>
      <c r="AG7" s="1">
        <v>4.1101501497517901E-4</v>
      </c>
      <c r="AH7" s="1">
        <v>4.1101500393798599E-4</v>
      </c>
    </row>
    <row r="8" spans="1:34" x14ac:dyDescent="0.25">
      <c r="A8" s="2">
        <v>6</v>
      </c>
      <c r="B8" s="1">
        <v>3.8124729494069598E-4</v>
      </c>
      <c r="C8" s="1">
        <v>3.7936184511960699E-4</v>
      </c>
      <c r="D8" s="1">
        <v>3.7809324149779802E-4</v>
      </c>
      <c r="E8" s="1">
        <v>3.7723852505742398E-4</v>
      </c>
      <c r="F8" s="1">
        <v>3.7666213897515798E-4</v>
      </c>
      <c r="G8" s="1">
        <v>3.7627320848358998E-4</v>
      </c>
      <c r="H8" s="1">
        <v>3.76010659136436E-4</v>
      </c>
      <c r="I8" s="1">
        <v>3.75833374212738E-4</v>
      </c>
      <c r="J8" s="1">
        <v>3.7571364089021298E-4</v>
      </c>
      <c r="K8" s="1">
        <v>3.7563276596104598E-4</v>
      </c>
      <c r="L8" s="1">
        <v>3.7557813354694401E-4</v>
      </c>
      <c r="M8" s="1">
        <v>3.7554122624710299E-4</v>
      </c>
      <c r="N8" s="1">
        <v>3.7551629228367898E-4</v>
      </c>
      <c r="O8" s="1">
        <v>3.7549944685919201E-4</v>
      </c>
      <c r="P8" s="1">
        <v>3.7548806585887998E-4</v>
      </c>
      <c r="Q8" s="1">
        <v>3.75480376604923E-4</v>
      </c>
      <c r="R8" s="1">
        <v>3.75475181533164E-4</v>
      </c>
      <c r="S8" s="1">
        <v>3.7547167158006402E-4</v>
      </c>
      <c r="T8" s="1">
        <v>3.7546930013696597E-4</v>
      </c>
      <c r="U8" s="1">
        <v>3.7546769790568299E-4</v>
      </c>
      <c r="V8" s="1">
        <v>3.7546661537939899E-4</v>
      </c>
      <c r="W8" s="1">
        <v>3.7546588398404499E-4</v>
      </c>
      <c r="X8" s="1">
        <v>3.7546538982552902E-4</v>
      </c>
      <c r="Y8" s="1">
        <v>3.75465055953065E-4</v>
      </c>
      <c r="Z8" s="1">
        <v>3.7546483037593099E-4</v>
      </c>
      <c r="AA8" s="1">
        <v>3.7546467796726902E-4</v>
      </c>
      <c r="AB8" s="1">
        <v>3.7546457499404798E-4</v>
      </c>
      <c r="AC8" s="1">
        <v>3.7546450542132599E-4</v>
      </c>
      <c r="AD8" s="1">
        <v>3.7546445841527898E-4</v>
      </c>
      <c r="AE8" s="1">
        <v>3.7546442665615799E-4</v>
      </c>
      <c r="AF8" s="1">
        <v>3.7546440519845503E-4</v>
      </c>
      <c r="AG8" s="1">
        <v>3.75464390700791E-4</v>
      </c>
      <c r="AH8" s="1">
        <v>3.7546438090560301E-4</v>
      </c>
    </row>
    <row r="9" spans="1:34" x14ac:dyDescent="0.25">
      <c r="A9" s="2">
        <v>7</v>
      </c>
      <c r="B9" s="1">
        <v>3.3263479380216999E-4</v>
      </c>
      <c r="C9" s="1">
        <v>3.30957808278693E-4</v>
      </c>
      <c r="D9" s="1">
        <v>3.2982955887572398E-4</v>
      </c>
      <c r="E9" s="1">
        <v>3.2906944709525299E-4</v>
      </c>
      <c r="F9" s="1">
        <v>3.2855687750187902E-4</v>
      </c>
      <c r="G9" s="1">
        <v>3.2821101737095598E-4</v>
      </c>
      <c r="H9" s="1">
        <v>3.2797754681109003E-4</v>
      </c>
      <c r="I9" s="1">
        <v>3.27819898966787E-4</v>
      </c>
      <c r="J9" s="1">
        <v>3.2771342880322799E-4</v>
      </c>
      <c r="K9" s="1">
        <v>3.2764151296600202E-4</v>
      </c>
      <c r="L9" s="1">
        <v>3.27592932744314E-4</v>
      </c>
      <c r="M9" s="1">
        <v>3.2756011412227301E-4</v>
      </c>
      <c r="N9" s="1">
        <v>3.2753794243775699E-4</v>
      </c>
      <c r="O9" s="1">
        <v>3.2752296322943899E-4</v>
      </c>
      <c r="P9" s="1">
        <v>3.2751284307783402E-4</v>
      </c>
      <c r="Q9" s="1">
        <v>3.2750600568436002E-4</v>
      </c>
      <c r="R9" s="1">
        <v>3.2750138615455002E-4</v>
      </c>
      <c r="S9" s="1">
        <v>3.2749826505631301E-4</v>
      </c>
      <c r="T9" s="1">
        <v>3.2749615633704198E-4</v>
      </c>
      <c r="U9" s="1">
        <v>3.2749473161146602E-4</v>
      </c>
      <c r="V9" s="1">
        <v>3.2749376901462102E-4</v>
      </c>
      <c r="W9" s="1">
        <v>3.2749311864812398E-4</v>
      </c>
      <c r="X9" s="1">
        <v>3.2749267923580001E-4</v>
      </c>
      <c r="Y9" s="1">
        <v>3.27492382351972E-4</v>
      </c>
      <c r="Z9" s="1">
        <v>3.2749218176579201E-4</v>
      </c>
      <c r="AA9" s="1">
        <v>3.27492046241989E-4</v>
      </c>
      <c r="AB9" s="1">
        <v>3.2749195467683499E-4</v>
      </c>
      <c r="AC9" s="1">
        <v>3.2749189281184899E-4</v>
      </c>
      <c r="AD9" s="1">
        <v>3.2749185101344999E-4</v>
      </c>
      <c r="AE9" s="1">
        <v>3.2749182277281902E-4</v>
      </c>
      <c r="AF9" s="1">
        <v>3.27491803692345E-4</v>
      </c>
      <c r="AG9" s="1">
        <v>3.2749179080083103E-4</v>
      </c>
      <c r="AH9" s="1">
        <v>3.2749178209082002E-4</v>
      </c>
    </row>
    <row r="10" spans="1:34" x14ac:dyDescent="0.25">
      <c r="A10" s="2">
        <v>8</v>
      </c>
      <c r="B10" s="1">
        <v>2.9866320086588698E-4</v>
      </c>
      <c r="C10" s="1">
        <v>2.9714158524873398E-4</v>
      </c>
      <c r="D10" s="1">
        <v>2.96117912235259E-4</v>
      </c>
      <c r="E10" s="1">
        <v>2.9542827543083702E-4</v>
      </c>
      <c r="F10" s="1">
        <v>2.9496323907567102E-4</v>
      </c>
      <c r="G10" s="1">
        <v>2.9464945669419002E-4</v>
      </c>
      <c r="H10" s="1">
        <v>2.9443764198527401E-4</v>
      </c>
      <c r="I10" s="1">
        <v>2.9429461786599698E-4</v>
      </c>
      <c r="J10" s="1">
        <v>2.9419802449731798E-4</v>
      </c>
      <c r="K10" s="1">
        <v>2.9413278018186601E-4</v>
      </c>
      <c r="L10" s="1">
        <v>2.9408870675864902E-4</v>
      </c>
      <c r="M10" s="1">
        <v>2.9405893276702398E-4</v>
      </c>
      <c r="N10" s="1">
        <v>2.9403881799922998E-4</v>
      </c>
      <c r="O10" s="1">
        <v>2.9402522845371201E-4</v>
      </c>
      <c r="P10" s="1">
        <v>2.9401604718043802E-4</v>
      </c>
      <c r="Q10" s="1">
        <v>2.9400984411518798E-4</v>
      </c>
      <c r="R10" s="1">
        <v>2.9400565315563203E-4</v>
      </c>
      <c r="S10" s="1">
        <v>2.9400282161316202E-4</v>
      </c>
      <c r="T10" s="1">
        <v>2.94000908527698E-4</v>
      </c>
      <c r="U10" s="1">
        <v>2.9399961597933999E-4</v>
      </c>
      <c r="V10" s="1">
        <v>2.9399874268630402E-4</v>
      </c>
      <c r="W10" s="1">
        <v>2.9399815265682301E-4</v>
      </c>
      <c r="X10" s="1">
        <v>2.9399775401048501E-4</v>
      </c>
      <c r="Y10" s="1">
        <v>2.9399748466972601E-4</v>
      </c>
      <c r="Z10" s="1">
        <v>2.9399730269270803E-4</v>
      </c>
      <c r="AA10" s="1">
        <v>2.93997179741977E-4</v>
      </c>
      <c r="AB10" s="1">
        <v>2.93997096671682E-4</v>
      </c>
      <c r="AC10" s="1">
        <v>2.9399704054615199E-4</v>
      </c>
      <c r="AD10" s="1">
        <v>2.9399700262555401E-4</v>
      </c>
      <c r="AE10" s="1">
        <v>2.93996977004917E-4</v>
      </c>
      <c r="AF10" s="1">
        <v>2.9399695969461402E-4</v>
      </c>
      <c r="AG10" s="1">
        <v>2.93996947999095E-4</v>
      </c>
      <c r="AH10" s="1">
        <v>2.93996940097146E-4</v>
      </c>
    </row>
    <row r="11" spans="1:34" x14ac:dyDescent="0.25">
      <c r="A11" s="2">
        <v>9</v>
      </c>
      <c r="B11" s="1">
        <v>2.7578619096955699E-4</v>
      </c>
      <c r="C11" s="1">
        <v>2.7435816264608398E-4</v>
      </c>
      <c r="D11" s="1">
        <v>2.7339751828648397E-4</v>
      </c>
      <c r="E11" s="1">
        <v>2.7275037385135199E-4</v>
      </c>
      <c r="F11" s="1">
        <v>2.7231400495826601E-4</v>
      </c>
      <c r="G11" s="1">
        <v>2.7201957226376602E-4</v>
      </c>
      <c r="H11" s="1">
        <v>2.71820822215157E-4</v>
      </c>
      <c r="I11" s="1">
        <v>2.7168662110145601E-4</v>
      </c>
      <c r="J11" s="1">
        <v>2.7159598707975497E-4</v>
      </c>
      <c r="K11" s="1">
        <v>2.7153476830131897E-4</v>
      </c>
      <c r="L11" s="1">
        <v>2.7149341430915202E-4</v>
      </c>
      <c r="M11" s="1">
        <v>2.7146547749844099E-4</v>
      </c>
      <c r="N11" s="1">
        <v>2.7144660392294399E-4</v>
      </c>
      <c r="O11" s="1">
        <v>2.7143385293944299E-4</v>
      </c>
      <c r="P11" s="1">
        <v>2.7142523821501602E-4</v>
      </c>
      <c r="Q11" s="1">
        <v>2.7141941792482199E-4</v>
      </c>
      <c r="R11" s="1">
        <v>2.7141548557964198E-4</v>
      </c>
      <c r="S11" s="1">
        <v>2.7141282876559999E-4</v>
      </c>
      <c r="T11" s="1">
        <v>2.71411033732783E-4</v>
      </c>
      <c r="U11" s="1">
        <v>2.7140982094508699E-4</v>
      </c>
      <c r="V11" s="1">
        <v>2.71409001541326E-4</v>
      </c>
      <c r="W11" s="1">
        <v>2.7140844792148099E-4</v>
      </c>
      <c r="X11" s="1">
        <v>2.71408073874887E-4</v>
      </c>
      <c r="Y11" s="1">
        <v>2.7140782115466302E-4</v>
      </c>
      <c r="Z11" s="1">
        <v>2.71407650407123E-4</v>
      </c>
      <c r="AA11" s="1">
        <v>2.71407535043464E-4</v>
      </c>
      <c r="AB11" s="1">
        <v>2.7140745709928901E-4</v>
      </c>
      <c r="AC11" s="1">
        <v>2.7140740443716701E-4</v>
      </c>
      <c r="AD11" s="1">
        <v>2.7140736885658198E-4</v>
      </c>
      <c r="AE11" s="1">
        <v>2.7140734481694901E-4</v>
      </c>
      <c r="AF11" s="1">
        <v>2.7140732857483399E-4</v>
      </c>
      <c r="AG11" s="1">
        <v>2.71407317601025E-4</v>
      </c>
      <c r="AH11" s="1">
        <v>2.7140731018669202E-4</v>
      </c>
    </row>
    <row r="12" spans="1:34" x14ac:dyDescent="0.25">
      <c r="A12" s="2">
        <v>10</v>
      </c>
      <c r="B12" s="1">
        <v>2.6427741703459099E-4</v>
      </c>
      <c r="C12" s="1">
        <v>2.6290485041627001E-4</v>
      </c>
      <c r="D12" s="1">
        <v>2.6198152770275302E-4</v>
      </c>
      <c r="E12" s="1">
        <v>2.6135953078478501E-4</v>
      </c>
      <c r="F12" s="1">
        <v>2.6094012136437301E-4</v>
      </c>
      <c r="G12" s="1">
        <v>2.6065713294469998E-4</v>
      </c>
      <c r="H12" s="1">
        <v>2.6046610861673398E-4</v>
      </c>
      <c r="I12" s="1">
        <v>2.6033712434659999E-4</v>
      </c>
      <c r="J12" s="1">
        <v>2.6025001367999801E-4</v>
      </c>
      <c r="K12" s="1">
        <v>2.6019117480273999E-4</v>
      </c>
      <c r="L12" s="1">
        <v>2.6015142848407599E-4</v>
      </c>
      <c r="M12" s="1">
        <v>2.6012457775230501E-4</v>
      </c>
      <c r="N12" s="1">
        <v>2.6010643791572801E-4</v>
      </c>
      <c r="O12" s="1">
        <v>2.60094182648247E-4</v>
      </c>
      <c r="P12" s="1">
        <v>2.6008590283676999E-4</v>
      </c>
      <c r="Q12" s="1">
        <v>2.6008030882130597E-4</v>
      </c>
      <c r="R12" s="1">
        <v>2.6007652935364797E-4</v>
      </c>
      <c r="S12" s="1">
        <v>2.6007397582848203E-4</v>
      </c>
      <c r="T12" s="1">
        <v>2.6007225058114299E-4</v>
      </c>
      <c r="U12" s="1">
        <v>2.6007108494300501E-4</v>
      </c>
      <c r="V12" s="1">
        <v>2.6007029739522102E-4</v>
      </c>
      <c r="W12" s="1">
        <v>2.60069765298469E-4</v>
      </c>
      <c r="X12" s="1">
        <v>2.6006940579369702E-4</v>
      </c>
      <c r="Y12" s="1">
        <v>2.6006916289848602E-4</v>
      </c>
      <c r="Z12" s="1">
        <v>2.6006899878910401E-4</v>
      </c>
      <c r="AA12" s="1">
        <v>2.60068887910443E-4</v>
      </c>
      <c r="AB12" s="1">
        <v>2.6006881299650602E-4</v>
      </c>
      <c r="AC12" s="1">
        <v>2.6006876238173198E-4</v>
      </c>
      <c r="AD12" s="1">
        <v>2.6006872818441502E-4</v>
      </c>
      <c r="AE12" s="1">
        <v>2.6006870507937202E-4</v>
      </c>
      <c r="AF12" s="1">
        <v>2.6006868946870198E-4</v>
      </c>
      <c r="AG12" s="1">
        <v>2.6006867892152302E-4</v>
      </c>
      <c r="AH12" s="1">
        <v>2.6006867179543598E-4</v>
      </c>
    </row>
    <row r="13" spans="1:34" x14ac:dyDescent="0.25">
      <c r="A13" s="2">
        <v>11</v>
      </c>
      <c r="B13" s="1">
        <v>2.8266653534599702E-4</v>
      </c>
      <c r="C13" s="1">
        <v>2.8141111432241901E-4</v>
      </c>
      <c r="D13" s="1">
        <v>2.8056606006306303E-4</v>
      </c>
      <c r="E13" s="1">
        <v>2.7999654506067999E-4</v>
      </c>
      <c r="F13" s="1">
        <v>2.7961241288628402E-4</v>
      </c>
      <c r="G13" s="1">
        <v>2.79353176473888E-4</v>
      </c>
      <c r="H13" s="1">
        <v>2.7917816225436803E-4</v>
      </c>
      <c r="I13" s="1">
        <v>2.7905997786104503E-4</v>
      </c>
      <c r="J13" s="1">
        <v>2.7898015617807098E-4</v>
      </c>
      <c r="K13" s="1">
        <v>2.78926238448371E-4</v>
      </c>
      <c r="L13" s="1">
        <v>2.78889815418212E-4</v>
      </c>
      <c r="M13" s="1">
        <v>2.7886520928568898E-4</v>
      </c>
      <c r="N13" s="1">
        <v>2.7884858564839599E-4</v>
      </c>
      <c r="O13" s="1">
        <v>2.7883735462938297E-4</v>
      </c>
      <c r="P13" s="1">
        <v>2.7882976676945801E-4</v>
      </c>
      <c r="Q13" s="1">
        <v>2.7882464023122399E-4</v>
      </c>
      <c r="R13" s="1">
        <v>2.7882117659472501E-4</v>
      </c>
      <c r="S13" s="1">
        <v>2.78818836450716E-4</v>
      </c>
      <c r="T13" s="1">
        <v>2.7881725536896398E-4</v>
      </c>
      <c r="U13" s="1">
        <v>2.7881618713333398E-4</v>
      </c>
      <c r="V13" s="1">
        <v>2.7881546539385601E-4</v>
      </c>
      <c r="W13" s="1">
        <v>2.7881497775947799E-4</v>
      </c>
      <c r="X13" s="1">
        <v>2.7881464829509198E-4</v>
      </c>
      <c r="Y13" s="1">
        <v>2.7881442569628102E-4</v>
      </c>
      <c r="Z13" s="1">
        <v>2.78814275299914E-4</v>
      </c>
      <c r="AA13" s="1">
        <v>2.7881417368628801E-4</v>
      </c>
      <c r="AB13" s="1">
        <v>2.78814105032167E-4</v>
      </c>
      <c r="AC13" s="1">
        <v>2.78814058646766E-4</v>
      </c>
      <c r="AD13" s="1">
        <v>2.78814027306979E-4</v>
      </c>
      <c r="AE13" s="1">
        <v>2.7881400613259303E-4</v>
      </c>
      <c r="AF13" s="1">
        <v>2.7881399182635102E-4</v>
      </c>
      <c r="AG13" s="1">
        <v>2.7881398216049501E-4</v>
      </c>
      <c r="AH13" s="1">
        <v>2.78813975629864E-4</v>
      </c>
    </row>
    <row r="14" spans="1:34" x14ac:dyDescent="0.25">
      <c r="A14" s="2">
        <v>12</v>
      </c>
      <c r="B14" s="1">
        <v>3.2102921034331798E-4</v>
      </c>
      <c r="C14" s="1">
        <v>3.1983238951091E-4</v>
      </c>
      <c r="D14" s="1">
        <v>3.1902629682173102E-4</v>
      </c>
      <c r="E14" s="1">
        <v>3.1848281922626601E-4</v>
      </c>
      <c r="F14" s="1">
        <v>3.1811614859355902E-4</v>
      </c>
      <c r="G14" s="1">
        <v>3.1786865052046601E-4</v>
      </c>
      <c r="H14" s="1">
        <v>3.1770154012799603E-4</v>
      </c>
      <c r="I14" s="1">
        <v>3.1758868353295099E-4</v>
      </c>
      <c r="J14" s="1">
        <v>3.1751245589161498E-4</v>
      </c>
      <c r="K14" s="1">
        <v>3.1746096386953598E-4</v>
      </c>
      <c r="L14" s="1">
        <v>3.1742617857070601E-4</v>
      </c>
      <c r="M14" s="1">
        <v>3.17402678418828E-4</v>
      </c>
      <c r="N14" s="1">
        <v>3.1738680178127702E-4</v>
      </c>
      <c r="O14" s="1">
        <v>3.1737607535312399E-4</v>
      </c>
      <c r="P14" s="1">
        <v>3.1736882836368001E-4</v>
      </c>
      <c r="Q14" s="1">
        <v>3.17363932107672E-4</v>
      </c>
      <c r="R14" s="1">
        <v>3.1736062404826102E-4</v>
      </c>
      <c r="S14" s="1">
        <v>3.1735838901338499E-4</v>
      </c>
      <c r="T14" s="1">
        <v>3.1735687894526702E-4</v>
      </c>
      <c r="U14" s="1">
        <v>3.1735585868821999E-4</v>
      </c>
      <c r="V14" s="1">
        <v>3.1735516936449098E-4</v>
      </c>
      <c r="W14" s="1">
        <v>3.1735470363125103E-4</v>
      </c>
      <c r="X14" s="1">
        <v>3.17354388964036E-4</v>
      </c>
      <c r="Y14" s="1">
        <v>3.1735417636272699E-4</v>
      </c>
      <c r="Z14" s="1">
        <v>3.17354032721045E-4</v>
      </c>
      <c r="AA14" s="1">
        <v>3.1735393567113902E-4</v>
      </c>
      <c r="AB14" s="1">
        <v>3.1735387010044301E-4</v>
      </c>
      <c r="AC14" s="1">
        <v>3.1735382579832098E-4</v>
      </c>
      <c r="AD14" s="1">
        <v>3.1735379586607799E-4</v>
      </c>
      <c r="AE14" s="1">
        <v>3.1735377564268499E-4</v>
      </c>
      <c r="AF14" s="1">
        <v>3.1735376197896997E-4</v>
      </c>
      <c r="AG14" s="1">
        <v>3.1735375274722901E-4</v>
      </c>
      <c r="AH14" s="1">
        <v>3.17353746509904E-4</v>
      </c>
    </row>
    <row r="15" spans="1:34" x14ac:dyDescent="0.25">
      <c r="A15" s="2">
        <v>13</v>
      </c>
      <c r="B15" s="1">
        <v>3.6474193141155403E-4</v>
      </c>
      <c r="C15" s="1">
        <v>3.6350107950134899E-4</v>
      </c>
      <c r="D15" s="1">
        <v>3.6266510140769401E-4</v>
      </c>
      <c r="E15" s="1">
        <v>3.6210137026895599E-4</v>
      </c>
      <c r="F15" s="1">
        <v>3.6172098746986499E-4</v>
      </c>
      <c r="G15" s="1">
        <v>3.61464212141927E-4</v>
      </c>
      <c r="H15" s="1">
        <v>3.6129082785191398E-4</v>
      </c>
      <c r="I15" s="1">
        <v>3.6117372971264801E-4</v>
      </c>
      <c r="J15" s="1">
        <v>3.6109463510790698E-4</v>
      </c>
      <c r="K15" s="1">
        <v>3.6104120550109698E-4</v>
      </c>
      <c r="L15" s="1">
        <v>3.6100511084230101E-4</v>
      </c>
      <c r="M15" s="1">
        <v>3.6098072592063399E-4</v>
      </c>
      <c r="N15" s="1">
        <v>3.6096425144552599E-4</v>
      </c>
      <c r="O15" s="1">
        <v>3.6095312107097601E-4</v>
      </c>
      <c r="P15" s="1">
        <v>3.6094560114860902E-4</v>
      </c>
      <c r="Q15" s="1">
        <v>3.6094052048344901E-4</v>
      </c>
      <c r="R15" s="1">
        <v>3.6093708782772098E-4</v>
      </c>
      <c r="S15" s="1">
        <v>3.6093476860965702E-4</v>
      </c>
      <c r="T15" s="1">
        <v>3.6093320166360901E-4</v>
      </c>
      <c r="U15" s="1">
        <v>3.60932142977391E-4</v>
      </c>
      <c r="V15" s="1">
        <v>3.6093142768930898E-4</v>
      </c>
      <c r="W15" s="1">
        <v>3.6093094441349199E-4</v>
      </c>
      <c r="X15" s="1">
        <v>3.60930617893805E-4</v>
      </c>
      <c r="Y15" s="1">
        <v>3.6093039728449298E-4</v>
      </c>
      <c r="Z15" s="1">
        <v>3.6093024823228599E-4</v>
      </c>
      <c r="AA15" s="1">
        <v>3.6093014752681599E-4</v>
      </c>
      <c r="AB15" s="1">
        <v>3.6093007948627599E-4</v>
      </c>
      <c r="AC15" s="1">
        <v>3.60930033515432E-4</v>
      </c>
      <c r="AD15" s="1">
        <v>3.60930002455734E-4</v>
      </c>
      <c r="AE15" s="1">
        <v>3.6092998147058797E-4</v>
      </c>
      <c r="AF15" s="1">
        <v>3.60929967292203E-4</v>
      </c>
      <c r="AG15" s="1">
        <v>3.6092995771273102E-4</v>
      </c>
      <c r="AH15" s="1">
        <v>3.6092995124046602E-4</v>
      </c>
    </row>
    <row r="16" spans="1:34" x14ac:dyDescent="0.25">
      <c r="A16" s="2">
        <v>14</v>
      </c>
      <c r="B16" s="1">
        <v>4.2223734720327899E-4</v>
      </c>
      <c r="C16" s="1">
        <v>4.2096821861267302E-4</v>
      </c>
      <c r="D16" s="1">
        <v>4.2011290525519702E-4</v>
      </c>
      <c r="E16" s="1">
        <v>4.1953600579845203E-4</v>
      </c>
      <c r="F16" s="1">
        <v>4.1914667835735099E-4</v>
      </c>
      <c r="G16" s="1">
        <v>4.1888383799574099E-4</v>
      </c>
      <c r="H16" s="1">
        <v>4.1870634604889101E-4</v>
      </c>
      <c r="I16" s="1">
        <v>4.1858646810934798E-4</v>
      </c>
      <c r="J16" s="1">
        <v>4.18505493307032E-4</v>
      </c>
      <c r="K16" s="1">
        <v>4.1845079242720302E-4</v>
      </c>
      <c r="L16" s="1">
        <v>4.18413838418579E-4</v>
      </c>
      <c r="M16" s="1">
        <v>4.18388872691194E-4</v>
      </c>
      <c r="N16" s="1">
        <v>4.1837200571185398E-4</v>
      </c>
      <c r="O16" s="1">
        <v>4.1836061010538901E-4</v>
      </c>
      <c r="P16" s="1">
        <v>4.1835291096338403E-4</v>
      </c>
      <c r="Q16" s="1">
        <v>4.1834770920194398E-4</v>
      </c>
      <c r="R16" s="1">
        <v>4.1834419472495899E-4</v>
      </c>
      <c r="S16" s="1">
        <v>4.18341820223486E-4</v>
      </c>
      <c r="T16" s="1">
        <v>4.1834021592499702E-4</v>
      </c>
      <c r="U16" s="1">
        <v>4.18339132001639E-4</v>
      </c>
      <c r="V16" s="1">
        <v>4.1833839966219102E-4</v>
      </c>
      <c r="W16" s="1">
        <v>4.1833790486572701E-4</v>
      </c>
      <c r="X16" s="1">
        <v>4.18337570562204E-4</v>
      </c>
      <c r="Y16" s="1">
        <v>4.1833734469381301E-4</v>
      </c>
      <c r="Z16" s="1">
        <v>4.1833719208835799E-4</v>
      </c>
      <c r="AA16" s="1">
        <v>4.1833708898217202E-4</v>
      </c>
      <c r="AB16" s="1">
        <v>4.1833701931961201E-4</v>
      </c>
      <c r="AC16" s="1">
        <v>4.18336972252868E-4</v>
      </c>
      <c r="AD16" s="1">
        <v>4.1833694045273598E-4</v>
      </c>
      <c r="AE16" s="1">
        <v>4.18336918967324E-4</v>
      </c>
      <c r="AF16" s="1">
        <v>4.18336904450939E-4</v>
      </c>
      <c r="AG16" s="1">
        <v>4.1833689464310201E-4</v>
      </c>
      <c r="AH16" s="1">
        <v>4.1833688801654398E-4</v>
      </c>
    </row>
    <row r="17" spans="1:34" x14ac:dyDescent="0.25">
      <c r="A17" s="2">
        <v>15</v>
      </c>
      <c r="B17" s="1">
        <v>4.9869172816816802E-4</v>
      </c>
      <c r="C17" s="1">
        <v>4.9734180991721705E-4</v>
      </c>
      <c r="D17" s="1">
        <v>4.9643182087735695E-4</v>
      </c>
      <c r="E17" s="1">
        <v>4.9581793912711696E-4</v>
      </c>
      <c r="F17" s="1">
        <v>4.9540360625434496E-4</v>
      </c>
      <c r="G17" s="1">
        <v>4.9512386271420496E-4</v>
      </c>
      <c r="H17" s="1">
        <v>4.9493494643290496E-4</v>
      </c>
      <c r="I17" s="1">
        <v>4.9480734799482403E-4</v>
      </c>
      <c r="J17" s="1">
        <v>4.9472115611388099E-4</v>
      </c>
      <c r="K17" s="1">
        <v>4.9466293000311802E-4</v>
      </c>
      <c r="L17" s="1">
        <v>4.9462359404240297E-4</v>
      </c>
      <c r="M17" s="1">
        <v>4.9459701889825204E-4</v>
      </c>
      <c r="N17" s="1">
        <v>4.9457906449894805E-4</v>
      </c>
      <c r="O17" s="1">
        <v>4.9456693417302105E-4</v>
      </c>
      <c r="P17" s="1">
        <v>4.9455873861850097E-4</v>
      </c>
      <c r="Q17" s="1">
        <v>4.9455320145801E-4</v>
      </c>
      <c r="R17" s="1">
        <v>4.9454946037078105E-4</v>
      </c>
      <c r="S17" s="1">
        <v>4.9454693276186504E-4</v>
      </c>
      <c r="T17" s="1">
        <v>4.9454522501768004E-4</v>
      </c>
      <c r="U17" s="1">
        <v>4.9454407120221695E-4</v>
      </c>
      <c r="V17" s="1">
        <v>4.9454329164086105E-4</v>
      </c>
      <c r="W17" s="1">
        <v>4.9454276493939801E-4</v>
      </c>
      <c r="X17" s="1">
        <v>4.9454240907959599E-4</v>
      </c>
      <c r="Y17" s="1">
        <v>4.9454216864693295E-4</v>
      </c>
      <c r="Z17" s="1">
        <v>4.9454200620128205E-4</v>
      </c>
      <c r="AA17" s="1">
        <v>4.9454189644667398E-4</v>
      </c>
      <c r="AB17" s="1">
        <v>4.9454182229218002E-4</v>
      </c>
      <c r="AC17" s="1">
        <v>4.9454177219050797E-4</v>
      </c>
      <c r="AD17" s="1">
        <v>4.9454173833986096E-4</v>
      </c>
      <c r="AE17" s="1">
        <v>4.9454171546903995E-4</v>
      </c>
      <c r="AF17" s="1">
        <v>4.9454170001661903E-4</v>
      </c>
      <c r="AG17" s="1">
        <v>4.9454168957635905E-4</v>
      </c>
      <c r="AH17" s="1">
        <v>4.9454168252251098E-4</v>
      </c>
    </row>
    <row r="18" spans="1:34" x14ac:dyDescent="0.25">
      <c r="A18" s="2">
        <v>16</v>
      </c>
      <c r="B18" s="1">
        <v>5.7278554494604404E-4</v>
      </c>
      <c r="C18" s="1">
        <v>5.7129268504679397E-4</v>
      </c>
      <c r="D18" s="1">
        <v>5.7028625294855905E-4</v>
      </c>
      <c r="E18" s="1">
        <v>5.6960727157820098E-4</v>
      </c>
      <c r="F18" s="1">
        <v>5.69148982724732E-4</v>
      </c>
      <c r="G18" s="1">
        <v>5.6883955352199096E-4</v>
      </c>
      <c r="H18" s="1">
        <v>5.6863058624967097E-4</v>
      </c>
      <c r="I18" s="1">
        <v>5.6848944322659598E-4</v>
      </c>
      <c r="J18" s="1">
        <v>5.6839410130318801E-4</v>
      </c>
      <c r="K18" s="1">
        <v>5.6832969361761399E-4</v>
      </c>
      <c r="L18" s="1">
        <v>5.6828618139499797E-4</v>
      </c>
      <c r="M18" s="1">
        <v>5.6825678471988299E-4</v>
      </c>
      <c r="N18" s="1">
        <v>5.6823692403634295E-4</v>
      </c>
      <c r="O18" s="1">
        <v>5.6822350577415202E-4</v>
      </c>
      <c r="P18" s="1">
        <v>5.6821444005042995E-4</v>
      </c>
      <c r="Q18" s="1">
        <v>5.6820831497456797E-4</v>
      </c>
      <c r="R18" s="1">
        <v>5.6820417667098697E-4</v>
      </c>
      <c r="S18" s="1">
        <v>5.6820138068819999E-4</v>
      </c>
      <c r="T18" s="1">
        <v>5.6819949162060005E-4</v>
      </c>
      <c r="U18" s="1">
        <v>5.6819821529615895E-4</v>
      </c>
      <c r="V18" s="1">
        <v>5.6819735296304301E-4</v>
      </c>
      <c r="W18" s="1">
        <v>5.6819677033778399E-4</v>
      </c>
      <c r="X18" s="1">
        <v>5.68196376693699E-4</v>
      </c>
      <c r="Y18" s="1">
        <v>5.6819611073250398E-4</v>
      </c>
      <c r="Z18" s="1">
        <v>5.6819593103878303E-4</v>
      </c>
      <c r="AA18" s="1">
        <v>5.6819580963070597E-4</v>
      </c>
      <c r="AB18" s="1">
        <v>5.6819572760267198E-4</v>
      </c>
      <c r="AC18" s="1">
        <v>5.6819567218132998E-4</v>
      </c>
      <c r="AD18" s="1">
        <v>5.6819563473650399E-4</v>
      </c>
      <c r="AE18" s="1">
        <v>5.6819560943731698E-4</v>
      </c>
      <c r="AF18" s="1">
        <v>5.6819559234419698E-4</v>
      </c>
      <c r="AG18" s="1">
        <v>5.6819558079541596E-4</v>
      </c>
      <c r="AH18" s="1">
        <v>5.6819557299260797E-4</v>
      </c>
    </row>
    <row r="19" spans="1:34" x14ac:dyDescent="0.25">
      <c r="A19" s="2">
        <v>17</v>
      </c>
      <c r="B19" s="1">
        <v>6.3425196413035396E-4</v>
      </c>
      <c r="C19" s="1">
        <v>6.3254835722936699E-4</v>
      </c>
      <c r="D19" s="1">
        <v>6.3139992392805997E-4</v>
      </c>
      <c r="E19" s="1">
        <v>6.3062517758239703E-4</v>
      </c>
      <c r="F19" s="1">
        <v>6.3010226665587902E-4</v>
      </c>
      <c r="G19" s="1">
        <v>6.2974921295790097E-4</v>
      </c>
      <c r="H19" s="1">
        <v>6.2951078801384895E-4</v>
      </c>
      <c r="I19" s="1">
        <v>6.2934974987505698E-4</v>
      </c>
      <c r="J19" s="1">
        <v>6.2924096951942501E-4</v>
      </c>
      <c r="K19" s="1">
        <v>6.2916748389436504E-4</v>
      </c>
      <c r="L19" s="1">
        <v>6.2911783898685297E-4</v>
      </c>
      <c r="M19" s="1">
        <v>6.2908429916133104E-4</v>
      </c>
      <c r="N19" s="1">
        <v>6.2906163935455897E-4</v>
      </c>
      <c r="O19" s="1">
        <v>6.2904632996424502E-4</v>
      </c>
      <c r="P19" s="1">
        <v>6.2903598655188696E-4</v>
      </c>
      <c r="Q19" s="1">
        <v>6.2902899823397498E-4</v>
      </c>
      <c r="R19" s="1">
        <v>6.2902427669685396E-4</v>
      </c>
      <c r="S19" s="1">
        <v>6.2902108666166201E-4</v>
      </c>
      <c r="T19" s="1">
        <v>6.2901893135820699E-4</v>
      </c>
      <c r="U19" s="1">
        <v>6.2901747515502801E-4</v>
      </c>
      <c r="V19" s="1">
        <v>6.2901649128908204E-4</v>
      </c>
      <c r="W19" s="1">
        <v>6.2901582655161905E-4</v>
      </c>
      <c r="X19" s="1">
        <v>6.2901537742937304E-4</v>
      </c>
      <c r="Y19" s="1">
        <v>6.2901507398499003E-4</v>
      </c>
      <c r="Z19" s="1">
        <v>6.29014868966173E-4</v>
      </c>
      <c r="AA19" s="1">
        <v>6.29014730447474E-4</v>
      </c>
      <c r="AB19" s="1">
        <v>6.29014636858839E-4</v>
      </c>
      <c r="AC19" s="1">
        <v>6.2901457362670202E-4</v>
      </c>
      <c r="AD19" s="1">
        <v>6.2901453090460002E-4</v>
      </c>
      <c r="AE19" s="1">
        <v>6.2901450203987702E-4</v>
      </c>
      <c r="AF19" s="1">
        <v>6.29014482537741E-4</v>
      </c>
      <c r="AG19" s="1">
        <v>6.2901446936133604E-4</v>
      </c>
      <c r="AH19" s="1">
        <v>6.2901446045884098E-4</v>
      </c>
    </row>
    <row r="20" spans="1:34" x14ac:dyDescent="0.25">
      <c r="A20" s="2">
        <v>18</v>
      </c>
      <c r="B20" s="1">
        <v>6.8230044211761796E-4</v>
      </c>
      <c r="C20" s="1">
        <v>6.8061915106333202E-4</v>
      </c>
      <c r="D20" s="1">
        <v>6.7948555003736295E-4</v>
      </c>
      <c r="E20" s="1">
        <v>6.78720713416244E-4</v>
      </c>
      <c r="F20" s="1">
        <v>6.78204447087917E-4</v>
      </c>
      <c r="G20" s="1">
        <v>6.7785585958736797E-4</v>
      </c>
      <c r="H20" s="1">
        <v>6.7762044162310796E-4</v>
      </c>
      <c r="I20" s="1">
        <v>6.7746143030138998E-4</v>
      </c>
      <c r="J20" s="1">
        <v>6.7735401714523501E-4</v>
      </c>
      <c r="K20" s="1">
        <v>6.7728145425086095E-4</v>
      </c>
      <c r="L20" s="1">
        <v>6.7723243231865001E-4</v>
      </c>
      <c r="M20" s="1">
        <v>6.7719931319073698E-4</v>
      </c>
      <c r="N20" s="1">
        <v>6.7717693752838797E-4</v>
      </c>
      <c r="O20" s="1">
        <v>6.7716182007364497E-4</v>
      </c>
      <c r="P20" s="1">
        <v>6.7715160632060502E-4</v>
      </c>
      <c r="Q20" s="1">
        <v>6.7714470559653299E-4</v>
      </c>
      <c r="R20" s="1">
        <v>6.771400432371E-4</v>
      </c>
      <c r="S20" s="1">
        <v>6.7713689318277996E-4</v>
      </c>
      <c r="T20" s="1">
        <v>6.7713476489110296E-4</v>
      </c>
      <c r="U20" s="1">
        <v>6.7713332693774501E-4</v>
      </c>
      <c r="V20" s="1">
        <v>6.7713235540191395E-4</v>
      </c>
      <c r="W20" s="1">
        <v>6.7713169899507502E-4</v>
      </c>
      <c r="X20" s="1">
        <v>6.7713125550128797E-4</v>
      </c>
      <c r="Y20" s="1">
        <v>6.7713095585969496E-4</v>
      </c>
      <c r="Z20" s="1">
        <v>6.7713075341018403E-4</v>
      </c>
      <c r="AA20" s="1">
        <v>6.7713061662740502E-4</v>
      </c>
      <c r="AB20" s="1">
        <v>6.7713052421162405E-4</v>
      </c>
      <c r="AC20" s="1">
        <v>6.7713046177191201E-4</v>
      </c>
      <c r="AD20" s="1">
        <v>6.7713041958520302E-4</v>
      </c>
      <c r="AE20" s="1">
        <v>6.7713039108221302E-4</v>
      </c>
      <c r="AF20" s="1">
        <v>6.7713037182447796E-4</v>
      </c>
      <c r="AG20" s="1">
        <v>6.7713035881319895E-4</v>
      </c>
      <c r="AH20" s="1">
        <v>6.7713035002226905E-4</v>
      </c>
    </row>
    <row r="21" spans="1:34" x14ac:dyDescent="0.25">
      <c r="A21" s="2">
        <v>19</v>
      </c>
      <c r="B21" s="1">
        <v>7.2418398396719905E-4</v>
      </c>
      <c r="C21" s="1">
        <v>7.2296284286743205E-4</v>
      </c>
      <c r="D21" s="1">
        <v>7.22138957541239E-4</v>
      </c>
      <c r="E21" s="1">
        <v>7.2158283972251702E-4</v>
      </c>
      <c r="F21" s="1">
        <v>7.2120734711982601E-4</v>
      </c>
      <c r="G21" s="1">
        <v>7.2095376019647899E-4</v>
      </c>
      <c r="H21" s="1">
        <v>7.2078247740416405E-4</v>
      </c>
      <c r="I21" s="1">
        <v>7.2066677507401898E-4</v>
      </c>
      <c r="J21" s="1">
        <v>7.2058861256184899E-4</v>
      </c>
      <c r="K21" s="1">
        <v>7.2053580770697402E-4</v>
      </c>
      <c r="L21" s="1">
        <v>7.2050013287025202E-4</v>
      </c>
      <c r="M21" s="1">
        <v>7.2047603055399505E-4</v>
      </c>
      <c r="N21" s="1">
        <v>7.20459746542179E-4</v>
      </c>
      <c r="O21" s="1">
        <v>7.2044874463481805E-4</v>
      </c>
      <c r="P21" s="1">
        <v>7.2044131141073698E-4</v>
      </c>
      <c r="Q21" s="1">
        <v>7.2043628927706202E-4</v>
      </c>
      <c r="R21" s="1">
        <v>7.2043289614683005E-4</v>
      </c>
      <c r="S21" s="1">
        <v>7.2043060362430504E-4</v>
      </c>
      <c r="T21" s="1">
        <v>7.2042905471050205E-4</v>
      </c>
      <c r="U21" s="1">
        <v>7.2042800820560802E-4</v>
      </c>
      <c r="V21" s="1">
        <v>7.2042730114680903E-4</v>
      </c>
      <c r="W21" s="1">
        <v>7.2042682343060802E-4</v>
      </c>
      <c r="X21" s="1">
        <v>7.2042650066702696E-4</v>
      </c>
      <c r="Y21" s="1">
        <v>7.2042628259540295E-4</v>
      </c>
      <c r="Z21" s="1">
        <v>7.2042613525771695E-4</v>
      </c>
      <c r="AA21" s="1">
        <v>7.2042603571062795E-4</v>
      </c>
      <c r="AB21" s="1">
        <v>7.2042596845272699E-4</v>
      </c>
      <c r="AC21" s="1">
        <v>7.2042592301066097E-4</v>
      </c>
      <c r="AD21" s="1">
        <v>7.2042589230822396E-4</v>
      </c>
      <c r="AE21" s="1">
        <v>7.2042587156445701E-4</v>
      </c>
      <c r="AF21" s="1">
        <v>7.2042585754915703E-4</v>
      </c>
      <c r="AG21" s="1">
        <v>7.2042584807987099E-4</v>
      </c>
      <c r="AH21" s="1">
        <v>7.20425841682051E-4</v>
      </c>
    </row>
    <row r="22" spans="1:34" x14ac:dyDescent="0.25">
      <c r="A22" s="2">
        <v>20</v>
      </c>
      <c r="B22" s="1">
        <v>7.5537065267338496E-4</v>
      </c>
      <c r="C22" s="1">
        <v>7.5447050834282295E-4</v>
      </c>
      <c r="D22" s="1">
        <v>7.5386294265392898E-4</v>
      </c>
      <c r="E22" s="1">
        <v>7.5345272437362504E-4</v>
      </c>
      <c r="F22" s="1">
        <v>7.5317569116830003E-4</v>
      </c>
      <c r="G22" s="1">
        <v>7.5298857433401698E-4</v>
      </c>
      <c r="H22" s="1">
        <v>7.5286217718362398E-4</v>
      </c>
      <c r="I22" s="1">
        <v>7.5277679032846004E-4</v>
      </c>
      <c r="J22" s="1">
        <v>7.5271910510758897E-4</v>
      </c>
      <c r="K22" s="1">
        <v>7.5268013321629198E-4</v>
      </c>
      <c r="L22" s="1">
        <v>7.5265380342320702E-4</v>
      </c>
      <c r="M22" s="1">
        <v>7.5263601450581701E-4</v>
      </c>
      <c r="N22" s="1">
        <v>7.5262399585500404E-4</v>
      </c>
      <c r="O22" s="1">
        <v>7.52615875692789E-4</v>
      </c>
      <c r="P22" s="1">
        <v>7.5261038944300499E-4</v>
      </c>
      <c r="Q22" s="1">
        <v>7.5260668274058798E-4</v>
      </c>
      <c r="R22" s="1">
        <v>7.5260417835771101E-4</v>
      </c>
      <c r="S22" s="1">
        <v>7.52602486303351E-4</v>
      </c>
      <c r="T22" s="1">
        <v>7.5260134308736395E-4</v>
      </c>
      <c r="U22" s="1">
        <v>7.5260057068688802E-4</v>
      </c>
      <c r="V22" s="1">
        <v>7.52600048823348E-4</v>
      </c>
      <c r="W22" s="1">
        <v>7.5259969623212399E-4</v>
      </c>
      <c r="X22" s="1">
        <v>7.5259945800778801E-4</v>
      </c>
      <c r="Y22" s="1">
        <v>7.5259929705414697E-4</v>
      </c>
      <c r="Z22" s="1">
        <v>7.5259918830758801E-4</v>
      </c>
      <c r="AA22" s="1">
        <v>7.52599114834166E-4</v>
      </c>
      <c r="AB22" s="1">
        <v>7.5259906519265104E-4</v>
      </c>
      <c r="AC22" s="1">
        <v>7.5259903165290302E-4</v>
      </c>
      <c r="AD22" s="1">
        <v>7.5259900899213804E-4</v>
      </c>
      <c r="AE22" s="1">
        <v>7.52598993681638E-4</v>
      </c>
      <c r="AF22" s="1">
        <v>7.5259898333726496E-4</v>
      </c>
      <c r="AG22" s="1">
        <v>7.5259897634820296E-4</v>
      </c>
      <c r="AH22" s="1">
        <v>7.5259897162611804E-4</v>
      </c>
    </row>
    <row r="23" spans="1:34" x14ac:dyDescent="0.25">
      <c r="A23" s="2">
        <v>21</v>
      </c>
      <c r="B23" s="1">
        <v>7.6704536907859196E-4</v>
      </c>
      <c r="C23" s="1">
        <v>7.6617012235746503E-4</v>
      </c>
      <c r="D23" s="1">
        <v>7.6557933660914199E-4</v>
      </c>
      <c r="E23" s="1">
        <v>7.65180436430786E-4</v>
      </c>
      <c r="F23" s="1">
        <v>7.6491104147492599E-4</v>
      </c>
      <c r="G23" s="1">
        <v>7.6472908137043395E-4</v>
      </c>
      <c r="H23" s="1">
        <v>7.64606166496764E-4</v>
      </c>
      <c r="I23" s="1">
        <v>7.6452313157722505E-4</v>
      </c>
      <c r="J23" s="1">
        <v>7.6446703503874698E-4</v>
      </c>
      <c r="K23" s="1">
        <v>7.6442913635120795E-4</v>
      </c>
      <c r="L23" s="1">
        <v>7.6440353157796403E-4</v>
      </c>
      <c r="M23" s="1">
        <v>7.6438623247646498E-4</v>
      </c>
      <c r="N23" s="1">
        <v>7.64374544748055E-4</v>
      </c>
      <c r="O23" s="1">
        <v>7.6436664816248803E-4</v>
      </c>
      <c r="P23" s="1">
        <v>7.6436131296642304E-4</v>
      </c>
      <c r="Q23" s="1">
        <v>7.6435770832025197E-4</v>
      </c>
      <c r="R23" s="1">
        <v>7.6435527288985696E-4</v>
      </c>
      <c r="S23" s="1">
        <v>7.6435362742216799E-4</v>
      </c>
      <c r="T23" s="1">
        <v>7.6435251568181001E-4</v>
      </c>
      <c r="U23" s="1">
        <v>7.6435176454743299E-4</v>
      </c>
      <c r="V23" s="1">
        <v>7.6435125705207204E-4</v>
      </c>
      <c r="W23" s="1">
        <v>7.64350914168537E-4</v>
      </c>
      <c r="X23" s="1">
        <v>7.64350682503089E-4</v>
      </c>
      <c r="Y23" s="1">
        <v>7.64350525980887E-4</v>
      </c>
      <c r="Z23" s="1">
        <v>7.6435042022837999E-4</v>
      </c>
      <c r="AA23" s="1">
        <v>7.64350348777856E-4</v>
      </c>
      <c r="AB23" s="1">
        <v>7.6435030050308998E-4</v>
      </c>
      <c r="AC23" s="1">
        <v>7.6435026788676996E-4</v>
      </c>
      <c r="AD23" s="1">
        <v>7.6435024584990902E-4</v>
      </c>
      <c r="AE23" s="1">
        <v>7.6435023096094504E-4</v>
      </c>
      <c r="AF23" s="1">
        <v>7.6435022090137696E-4</v>
      </c>
      <c r="AG23" s="1">
        <v>7.6435021410474003E-4</v>
      </c>
      <c r="AH23" s="1">
        <v>7.6435020951266504E-4</v>
      </c>
    </row>
    <row r="24" spans="1:34" x14ac:dyDescent="0.25">
      <c r="A24" s="2">
        <v>22</v>
      </c>
      <c r="B24" s="1">
        <v>7.72007541832661E-4</v>
      </c>
      <c r="C24" s="1">
        <v>7.7109707492034997E-4</v>
      </c>
      <c r="D24" s="1">
        <v>7.7048253550437604E-4</v>
      </c>
      <c r="E24" s="1">
        <v>7.7006760578322603E-4</v>
      </c>
      <c r="F24" s="1">
        <v>7.6978738947352902E-4</v>
      </c>
      <c r="G24" s="1">
        <v>7.6959812206866401E-4</v>
      </c>
      <c r="H24" s="1">
        <v>7.6947027193575795E-4</v>
      </c>
      <c r="I24" s="1">
        <v>7.6938390340115402E-4</v>
      </c>
      <c r="J24" s="1">
        <v>7.6932555492490601E-4</v>
      </c>
      <c r="K24" s="1">
        <v>7.6928613491491105E-4</v>
      </c>
      <c r="L24" s="1">
        <v>7.6925950235647998E-4</v>
      </c>
      <c r="M24" s="1">
        <v>7.6924150887951496E-4</v>
      </c>
      <c r="N24" s="1">
        <v>7.6922935202049301E-4</v>
      </c>
      <c r="O24" s="1">
        <v>7.6922113847951805E-4</v>
      </c>
      <c r="P24" s="1">
        <v>7.6921558913943999E-4</v>
      </c>
      <c r="Q24" s="1">
        <v>7.6921183981077496E-4</v>
      </c>
      <c r="R24" s="1">
        <v>7.6920930662794805E-4</v>
      </c>
      <c r="S24" s="1">
        <v>7.6920759511521898E-4</v>
      </c>
      <c r="T24" s="1">
        <v>7.6920643875239795E-4</v>
      </c>
      <c r="U24" s="1">
        <v>7.6920565746940804E-4</v>
      </c>
      <c r="V24" s="1">
        <v>7.6920512960449599E-4</v>
      </c>
      <c r="W24" s="1">
        <v>7.6920477295850905E-4</v>
      </c>
      <c r="X24" s="1">
        <v>7.6920453199461698E-4</v>
      </c>
      <c r="Y24" s="1">
        <v>7.6920436919002404E-4</v>
      </c>
      <c r="Z24" s="1">
        <v>7.6920425919289003E-4</v>
      </c>
      <c r="AA24" s="1">
        <v>7.6920418487453105E-4</v>
      </c>
      <c r="AB24" s="1">
        <v>7.6920413466214298E-4</v>
      </c>
      <c r="AC24" s="1">
        <v>7.6920410073669102E-4</v>
      </c>
      <c r="AD24" s="1">
        <v>7.6920407781532797E-4</v>
      </c>
      <c r="AE24" s="1">
        <v>7.6920406232875902E-4</v>
      </c>
      <c r="AF24" s="1">
        <v>7.69204051865427E-4</v>
      </c>
      <c r="AG24" s="1">
        <v>7.6920404479599103E-4</v>
      </c>
      <c r="AH24" s="1">
        <v>7.6920404001960298E-4</v>
      </c>
    </row>
    <row r="25" spans="1:34" x14ac:dyDescent="0.25">
      <c r="A25" s="2">
        <v>23</v>
      </c>
      <c r="B25" s="1">
        <v>7.8739532919247903E-4</v>
      </c>
      <c r="C25" s="1">
        <v>7.8669979736382999E-4</v>
      </c>
      <c r="D25" s="1">
        <v>7.8623021652015604E-4</v>
      </c>
      <c r="E25" s="1">
        <v>7.8591310793746003E-4</v>
      </c>
      <c r="F25" s="1">
        <v>7.8569892934314599E-4</v>
      </c>
      <c r="G25" s="1">
        <v>7.8555425493160398E-4</v>
      </c>
      <c r="H25" s="1">
        <v>7.8545652231170801E-4</v>
      </c>
      <c r="I25" s="1">
        <v>7.8539049720938202E-4</v>
      </c>
      <c r="J25" s="1">
        <v>7.8534589120696598E-4</v>
      </c>
      <c r="K25" s="1">
        <v>7.8531575507967302E-4</v>
      </c>
      <c r="L25" s="1">
        <v>7.8529539458711004E-4</v>
      </c>
      <c r="M25" s="1">
        <v>7.8528163854026502E-4</v>
      </c>
      <c r="N25" s="1">
        <v>7.8527234455304999E-4</v>
      </c>
      <c r="O25" s="1">
        <v>7.8526606523382796E-4</v>
      </c>
      <c r="P25" s="1">
        <v>7.8526182270844595E-4</v>
      </c>
      <c r="Q25" s="1">
        <v>7.8525895630524403E-4</v>
      </c>
      <c r="R25" s="1">
        <v>7.8525701965699102E-4</v>
      </c>
      <c r="S25" s="1">
        <v>7.8525571118434796E-4</v>
      </c>
      <c r="T25" s="1">
        <v>7.8525482713025902E-4</v>
      </c>
      <c r="U25" s="1">
        <v>7.8525422982928395E-4</v>
      </c>
      <c r="V25" s="1">
        <v>7.8525382626962799E-4</v>
      </c>
      <c r="W25" s="1">
        <v>7.8525355360904996E-4</v>
      </c>
      <c r="X25" s="1">
        <v>7.8525336938894605E-4</v>
      </c>
      <c r="Y25" s="1">
        <v>7.8525324492266003E-4</v>
      </c>
      <c r="Z25" s="1">
        <v>7.8525316082837695E-4</v>
      </c>
      <c r="AA25" s="1">
        <v>7.8525310401099402E-4</v>
      </c>
      <c r="AB25" s="1">
        <v>7.8525306562294899E-4</v>
      </c>
      <c r="AC25" s="1">
        <v>7.8525303968648497E-4</v>
      </c>
      <c r="AD25" s="1">
        <v>7.8525302216279501E-4</v>
      </c>
      <c r="AE25" s="1">
        <v>7.8525301032310497E-4</v>
      </c>
      <c r="AF25" s="1">
        <v>7.8525300232374696E-4</v>
      </c>
      <c r="AG25" s="1">
        <v>7.85252996919067E-4</v>
      </c>
      <c r="AH25" s="1">
        <v>7.8525299326745403E-4</v>
      </c>
    </row>
    <row r="26" spans="1:34" x14ac:dyDescent="0.25">
      <c r="A26" s="2">
        <v>24</v>
      </c>
      <c r="B26" s="1">
        <v>8.1127773921723398E-4</v>
      </c>
      <c r="C26" s="1">
        <v>8.1071469224746403E-4</v>
      </c>
      <c r="D26" s="1">
        <v>8.1033449680788998E-4</v>
      </c>
      <c r="E26" s="1">
        <v>8.1007772278284104E-4</v>
      </c>
      <c r="F26" s="1">
        <v>8.09904282243917E-4</v>
      </c>
      <c r="G26" s="1">
        <v>8.09787120040906E-4</v>
      </c>
      <c r="H26" s="1">
        <v>8.09707970262071E-4</v>
      </c>
      <c r="I26" s="1">
        <v>8.0965449795159297E-4</v>
      </c>
      <c r="J26" s="1">
        <v>8.0961837196422896E-4</v>
      </c>
      <c r="K26" s="1">
        <v>8.0959396474552701E-4</v>
      </c>
      <c r="L26" s="1">
        <v>8.0957747468978598E-4</v>
      </c>
      <c r="M26" s="1">
        <v>8.0956633355287299E-4</v>
      </c>
      <c r="N26" s="1">
        <v>8.0955880625154398E-4</v>
      </c>
      <c r="O26" s="1">
        <v>8.0955372055180298E-4</v>
      </c>
      <c r="P26" s="1">
        <v>8.09550284472117E-4</v>
      </c>
      <c r="Q26" s="1">
        <v>8.0954796293047004E-4</v>
      </c>
      <c r="R26" s="1">
        <v>8.0954639440985099E-4</v>
      </c>
      <c r="S26" s="1">
        <v>8.0954533465766004E-4</v>
      </c>
      <c r="T26" s="1">
        <v>8.0954461864839395E-4</v>
      </c>
      <c r="U26" s="1">
        <v>8.0954413488487198E-4</v>
      </c>
      <c r="V26" s="1">
        <v>8.0954380803546896E-4</v>
      </c>
      <c r="W26" s="1">
        <v>8.0954358720329697E-4</v>
      </c>
      <c r="X26" s="1">
        <v>8.0954343800047402E-4</v>
      </c>
      <c r="Y26" s="1">
        <v>8.0954333719322302E-4</v>
      </c>
      <c r="Z26" s="1">
        <v>8.0954326908390698E-4</v>
      </c>
      <c r="AA26" s="1">
        <v>8.0954322306659105E-4</v>
      </c>
      <c r="AB26" s="1">
        <v>8.0954319197549304E-4</v>
      </c>
      <c r="AC26" s="1">
        <v>8.0954317096913102E-4</v>
      </c>
      <c r="AD26" s="1">
        <v>8.09543156776411E-4</v>
      </c>
      <c r="AE26" s="1">
        <v>8.0954314718725395E-4</v>
      </c>
      <c r="AF26" s="1">
        <v>8.0954314070844405E-4</v>
      </c>
      <c r="AG26" s="1">
        <v>8.0954313633110799E-4</v>
      </c>
      <c r="AH26" s="1">
        <v>8.09543133373607E-4</v>
      </c>
    </row>
    <row r="27" spans="1:34" x14ac:dyDescent="0.25">
      <c r="A27" s="2">
        <v>25</v>
      </c>
      <c r="B27" s="1">
        <v>8.3532942613986905E-4</v>
      </c>
      <c r="C27" s="1">
        <v>8.3476099559383495E-4</v>
      </c>
      <c r="D27" s="1">
        <v>8.3437716055607904E-4</v>
      </c>
      <c r="E27" s="1">
        <v>8.3411792645345898E-4</v>
      </c>
      <c r="F27" s="1">
        <v>8.3394282332350102E-4</v>
      </c>
      <c r="G27" s="1">
        <v>8.3382453759617595E-4</v>
      </c>
      <c r="H27" s="1">
        <v>8.3374462862327505E-4</v>
      </c>
      <c r="I27" s="1">
        <v>8.3369064332727697E-4</v>
      </c>
      <c r="J27" s="1">
        <v>8.3365417072660199E-4</v>
      </c>
      <c r="K27" s="1">
        <v>8.3362952931315603E-4</v>
      </c>
      <c r="L27" s="1">
        <v>8.3361288102206895E-4</v>
      </c>
      <c r="M27" s="1">
        <v>8.3360163297324099E-4</v>
      </c>
      <c r="N27" s="1">
        <v>8.3359403343716103E-4</v>
      </c>
      <c r="O27" s="1">
        <v>8.3358889893239403E-4</v>
      </c>
      <c r="P27" s="1">
        <v>8.3358542987794105E-4</v>
      </c>
      <c r="Q27" s="1">
        <v>8.3358308605716697E-4</v>
      </c>
      <c r="R27" s="1">
        <v>8.3358150248385998E-4</v>
      </c>
      <c r="S27" s="1">
        <v>8.3358043256146603E-4</v>
      </c>
      <c r="T27" s="1">
        <v>8.3357970968080499E-4</v>
      </c>
      <c r="U27" s="1">
        <v>8.3357922127469603E-4</v>
      </c>
      <c r="V27" s="1">
        <v>8.3357889128857904E-4</v>
      </c>
      <c r="W27" s="1">
        <v>8.3357866833711804E-4</v>
      </c>
      <c r="X27" s="1">
        <v>8.3357851770242105E-4</v>
      </c>
      <c r="Y27" s="1">
        <v>8.3357841592774002E-4</v>
      </c>
      <c r="Z27" s="1">
        <v>8.3357834716478896E-4</v>
      </c>
      <c r="AA27" s="1">
        <v>8.33578300705852E-4</v>
      </c>
      <c r="AB27" s="1">
        <v>8.3357826931637798E-4</v>
      </c>
      <c r="AC27" s="1">
        <v>8.3357824810842104E-4</v>
      </c>
      <c r="AD27" s="1">
        <v>8.3357823377949605E-4</v>
      </c>
      <c r="AE27" s="1">
        <v>8.3357822409831398E-4</v>
      </c>
      <c r="AF27" s="1">
        <v>8.3357821755732802E-4</v>
      </c>
      <c r="AG27" s="1">
        <v>8.3357821313798195E-4</v>
      </c>
      <c r="AH27" s="1">
        <v>8.3357821015209903E-4</v>
      </c>
    </row>
    <row r="28" spans="1:34" x14ac:dyDescent="0.25">
      <c r="A28" s="2">
        <v>26</v>
      </c>
      <c r="B28" s="1">
        <v>8.51914186107447E-4</v>
      </c>
      <c r="C28" s="1">
        <v>8.5115839774799499E-4</v>
      </c>
      <c r="D28" s="1">
        <v>8.5064813698179501E-4</v>
      </c>
      <c r="E28" s="1">
        <v>8.50303557934419E-4</v>
      </c>
      <c r="F28" s="1">
        <v>8.5007082582749804E-4</v>
      </c>
      <c r="G28" s="1">
        <v>8.4991361895250404E-4</v>
      </c>
      <c r="H28" s="1">
        <v>8.4980742028622797E-4</v>
      </c>
      <c r="I28" s="1">
        <v>8.4973567581987197E-4</v>
      </c>
      <c r="J28" s="1">
        <v>8.4968720587804401E-4</v>
      </c>
      <c r="K28" s="1">
        <v>8.4965445925296403E-4</v>
      </c>
      <c r="L28" s="1">
        <v>8.4963233506568495E-4</v>
      </c>
      <c r="M28" s="1">
        <v>8.4961738742494303E-4</v>
      </c>
      <c r="N28" s="1">
        <v>8.4960728836271104E-4</v>
      </c>
      <c r="O28" s="1">
        <v>8.4960046510898404E-4</v>
      </c>
      <c r="P28" s="1">
        <v>8.4959585508275902E-4</v>
      </c>
      <c r="Q28" s="1">
        <v>8.4959274038279103E-4</v>
      </c>
      <c r="R28" s="1">
        <v>8.4959063597606695E-4</v>
      </c>
      <c r="S28" s="1">
        <v>8.4958921415948202E-4</v>
      </c>
      <c r="T28" s="1">
        <v>8.4958825352590304E-4</v>
      </c>
      <c r="U28" s="1">
        <v>8.4958760448487997E-4</v>
      </c>
      <c r="V28" s="1">
        <v>8.4958716596764605E-4</v>
      </c>
      <c r="W28" s="1">
        <v>8.4958686968837095E-4</v>
      </c>
      <c r="X28" s="1">
        <v>8.4958666951055598E-4</v>
      </c>
      <c r="Y28" s="1">
        <v>8.4958653426261803E-4</v>
      </c>
      <c r="Z28" s="1">
        <v>8.4958644288383003E-4</v>
      </c>
      <c r="AA28" s="1">
        <v>8.4958638114475198E-4</v>
      </c>
      <c r="AB28" s="1">
        <v>8.4958633943141596E-4</v>
      </c>
      <c r="AC28" s="1">
        <v>8.4958631124825595E-4</v>
      </c>
      <c r="AD28" s="1">
        <v>8.4958629220660998E-4</v>
      </c>
      <c r="AE28" s="1">
        <v>8.4958627934132898E-4</v>
      </c>
      <c r="AF28" s="1">
        <v>8.4958627064904196E-4</v>
      </c>
      <c r="AG28" s="1">
        <v>8.4958626477619299E-4</v>
      </c>
      <c r="AH28" s="1">
        <v>8.4958626080826598E-4</v>
      </c>
    </row>
    <row r="29" spans="1:34" x14ac:dyDescent="0.25">
      <c r="A29" s="2">
        <v>27</v>
      </c>
      <c r="B29" s="1">
        <v>8.7025871717038596E-4</v>
      </c>
      <c r="C29" s="1">
        <v>8.6931712725829004E-4</v>
      </c>
      <c r="D29" s="1">
        <v>8.6868152877085702E-4</v>
      </c>
      <c r="E29" s="1">
        <v>8.6825235652523199E-4</v>
      </c>
      <c r="F29" s="1">
        <v>8.6796251093959403E-4</v>
      </c>
      <c r="G29" s="1">
        <v>8.6776673466889599E-4</v>
      </c>
      <c r="H29" s="1">
        <v>8.6763448554567804E-4</v>
      </c>
      <c r="I29" s="1">
        <v>8.67545144266986E-4</v>
      </c>
      <c r="J29" s="1">
        <v>8.6748478700825898E-4</v>
      </c>
      <c r="K29" s="1">
        <v>8.6744400965831005E-4</v>
      </c>
      <c r="L29" s="1">
        <v>8.6741645996951298E-4</v>
      </c>
      <c r="M29" s="1">
        <v>8.6739784681673599E-4</v>
      </c>
      <c r="N29" s="1">
        <v>8.6738527126832402E-4</v>
      </c>
      <c r="O29" s="1">
        <v>8.6737677483885898E-4</v>
      </c>
      <c r="P29" s="1">
        <v>8.6737103436571397E-4</v>
      </c>
      <c r="Q29" s="1">
        <v>8.6736715589891299E-4</v>
      </c>
      <c r="R29" s="1">
        <v>8.6736453546477801E-4</v>
      </c>
      <c r="S29" s="1">
        <v>8.6736276500141095E-4</v>
      </c>
      <c r="T29" s="1">
        <v>8.6736156880912196E-4</v>
      </c>
      <c r="U29" s="1">
        <v>8.6736076061573399E-4</v>
      </c>
      <c r="V29" s="1">
        <v>8.67360214569081E-4</v>
      </c>
      <c r="W29" s="1">
        <v>8.6735984563878702E-4</v>
      </c>
      <c r="X29" s="1">
        <v>8.6735959637513303E-4</v>
      </c>
      <c r="Y29" s="1">
        <v>8.6735942796289402E-4</v>
      </c>
      <c r="Z29" s="1">
        <v>8.6735931417701302E-4</v>
      </c>
      <c r="AA29" s="1">
        <v>8.67359237298828E-4</v>
      </c>
      <c r="AB29" s="1">
        <v>8.6735918535692095E-4</v>
      </c>
      <c r="AC29" s="1">
        <v>8.6735915026293897E-4</v>
      </c>
      <c r="AD29" s="1">
        <v>8.6735912655207205E-4</v>
      </c>
      <c r="AE29" s="1">
        <v>8.6735911053208202E-4</v>
      </c>
      <c r="AF29" s="1">
        <v>8.6735909970835003E-4</v>
      </c>
      <c r="AG29" s="1">
        <v>8.6735909239541397E-4</v>
      </c>
      <c r="AH29" s="1">
        <v>8.6735908745450799E-4</v>
      </c>
    </row>
    <row r="30" spans="1:34" x14ac:dyDescent="0.25">
      <c r="A30" s="2">
        <v>28</v>
      </c>
      <c r="B30" s="1">
        <v>9.0252062956021296E-4</v>
      </c>
      <c r="C30" s="1">
        <v>9.0163669901908105E-4</v>
      </c>
      <c r="D30" s="1">
        <v>9.0103997084029104E-4</v>
      </c>
      <c r="E30" s="1">
        <v>9.0063702140251597E-4</v>
      </c>
      <c r="F30" s="1">
        <v>9.0036487495796899E-4</v>
      </c>
      <c r="G30" s="1">
        <v>9.0018104870083504E-4</v>
      </c>
      <c r="H30" s="1">
        <v>9.0005686972401296E-4</v>
      </c>
      <c r="I30" s="1">
        <v>8.9997297924043697E-4</v>
      </c>
      <c r="J30" s="1">
        <v>8.9991630397100099E-4</v>
      </c>
      <c r="K30" s="1">
        <v>8.9987801396054095E-4</v>
      </c>
      <c r="L30" s="1">
        <v>8.9985214465288204E-4</v>
      </c>
      <c r="M30" s="1">
        <v>8.9983466675706901E-4</v>
      </c>
      <c r="N30" s="1">
        <v>8.9982285819877495E-4</v>
      </c>
      <c r="O30" s="1">
        <v>8.9981487996236803E-4</v>
      </c>
      <c r="P30" s="1">
        <v>8.9980948959366596E-4</v>
      </c>
      <c r="Q30" s="1">
        <v>8.9980584766790001E-4</v>
      </c>
      <c r="R30" s="1">
        <v>8.9980338704867297E-4</v>
      </c>
      <c r="S30" s="1">
        <v>8.9980172456183998E-4</v>
      </c>
      <c r="T30" s="1">
        <v>8.9980060132241501E-4</v>
      </c>
      <c r="U30" s="1">
        <v>8.9979984241869704E-4</v>
      </c>
      <c r="V30" s="1">
        <v>8.9979932967401005E-4</v>
      </c>
      <c r="W30" s="1">
        <v>8.9979898324379904E-4</v>
      </c>
      <c r="X30" s="1">
        <v>8.9979874918206799E-4</v>
      </c>
      <c r="Y30" s="1">
        <v>8.9979859104083698E-4</v>
      </c>
      <c r="Z30" s="1">
        <v>8.9979848419444804E-4</v>
      </c>
      <c r="AA30" s="1">
        <v>8.99798412004854E-4</v>
      </c>
      <c r="AB30" s="1">
        <v>8.9979836323074295E-4</v>
      </c>
      <c r="AC30" s="1">
        <v>8.9979833027704599E-4</v>
      </c>
      <c r="AD30" s="1">
        <v>8.9979830801223903E-4</v>
      </c>
      <c r="AE30" s="1">
        <v>8.99798292969265E-4</v>
      </c>
      <c r="AF30" s="1">
        <v>8.9979828280564299E-4</v>
      </c>
      <c r="AG30" s="1">
        <v>8.9979827593870195E-4</v>
      </c>
      <c r="AH30" s="1">
        <v>8.9979827129912796E-4</v>
      </c>
    </row>
    <row r="31" spans="1:34" x14ac:dyDescent="0.25">
      <c r="A31" s="2">
        <v>29</v>
      </c>
      <c r="B31" s="1">
        <v>9.4243520902258997E-4</v>
      </c>
      <c r="C31" s="1">
        <v>9.4166517622256102E-4</v>
      </c>
      <c r="D31" s="1">
        <v>9.4114526794244298E-4</v>
      </c>
      <c r="E31" s="1">
        <v>9.4079415998446101E-4</v>
      </c>
      <c r="F31" s="1">
        <v>9.4055701182266097E-4</v>
      </c>
      <c r="G31" s="1">
        <v>9.4039681906768697E-4</v>
      </c>
      <c r="H31" s="1">
        <v>9.4028860201085605E-4</v>
      </c>
      <c r="I31" s="1">
        <v>9.4021549337847804E-4</v>
      </c>
      <c r="J31" s="1">
        <v>9.4016610154167403E-4</v>
      </c>
      <c r="K31" s="1">
        <v>9.4013273195195195E-4</v>
      </c>
      <c r="L31" s="1">
        <v>9.4011018682141801E-4</v>
      </c>
      <c r="M31" s="1">
        <v>9.4009495475487199E-4</v>
      </c>
      <c r="N31" s="1">
        <v>9.4008466351427498E-4</v>
      </c>
      <c r="O31" s="1">
        <v>9.4007771041314399E-4</v>
      </c>
      <c r="P31" s="1">
        <v>9.4007301265502203E-4</v>
      </c>
      <c r="Q31" s="1">
        <v>9.4006983867908004E-4</v>
      </c>
      <c r="R31" s="1">
        <v>9.4006769422278998E-4</v>
      </c>
      <c r="S31" s="1">
        <v>9.4006624534696999E-4</v>
      </c>
      <c r="T31" s="1">
        <v>9.4006526643103004E-4</v>
      </c>
      <c r="U31" s="1">
        <v>9.4006460503769096E-4</v>
      </c>
      <c r="V31" s="1">
        <v>9.4006415817473102E-4</v>
      </c>
      <c r="W31" s="1">
        <v>9.4006385625674898E-4</v>
      </c>
      <c r="X31" s="1">
        <v>9.4006365226920001E-4</v>
      </c>
      <c r="Y31" s="1">
        <v>9.4006351444725497E-4</v>
      </c>
      <c r="Z31" s="1">
        <v>9.40063421329367E-4</v>
      </c>
      <c r="AA31" s="1">
        <v>9.4006335841528203E-4</v>
      </c>
      <c r="AB31" s="1">
        <v>9.4006331590806803E-4</v>
      </c>
      <c r="AC31" s="1">
        <v>9.4006328718853E-4</v>
      </c>
      <c r="AD31" s="1">
        <v>9.4006326778448804E-4</v>
      </c>
      <c r="AE31" s="1">
        <v>9.4006325467435798E-4</v>
      </c>
      <c r="AF31" s="1">
        <v>9.4006324581664199E-4</v>
      </c>
      <c r="AG31" s="1">
        <v>9.4006323983202098E-4</v>
      </c>
      <c r="AH31" s="1">
        <v>9.4006323578857702E-4</v>
      </c>
    </row>
    <row r="32" spans="1:34" x14ac:dyDescent="0.25">
      <c r="A32" s="2">
        <v>30</v>
      </c>
      <c r="B32" s="1">
        <v>9.6659272373378704E-4</v>
      </c>
      <c r="C32" s="1">
        <v>9.6544473364308496E-4</v>
      </c>
      <c r="D32" s="1">
        <v>9.6466987812832898E-4</v>
      </c>
      <c r="E32" s="1">
        <v>9.6414670731068998E-4</v>
      </c>
      <c r="F32" s="1">
        <v>9.6379339317545498E-4</v>
      </c>
      <c r="G32" s="1">
        <v>9.6355475357697104E-4</v>
      </c>
      <c r="H32" s="1">
        <v>9.6339355275805699E-4</v>
      </c>
      <c r="I32" s="1">
        <v>9.6328465443539695E-4</v>
      </c>
      <c r="J32" s="1">
        <v>9.6321108543176003E-4</v>
      </c>
      <c r="K32" s="1">
        <v>9.6316138251296502E-4</v>
      </c>
      <c r="L32" s="1">
        <v>9.63127802727118E-4</v>
      </c>
      <c r="M32" s="1">
        <v>9.63105115572117E-4</v>
      </c>
      <c r="N32" s="1">
        <v>9.6308978754474999E-4</v>
      </c>
      <c r="O32" s="1">
        <v>9.6307943146765505E-4</v>
      </c>
      <c r="P32" s="1">
        <v>9.6307243455971204E-4</v>
      </c>
      <c r="Q32" s="1">
        <v>9.6306770720365703E-4</v>
      </c>
      <c r="R32" s="1">
        <v>9.6306451323004095E-4</v>
      </c>
      <c r="S32" s="1">
        <v>9.6306235526246895E-4</v>
      </c>
      <c r="T32" s="1">
        <v>9.6306089725786605E-4</v>
      </c>
      <c r="U32" s="1">
        <v>9.6305991217414996E-4</v>
      </c>
      <c r="V32" s="1">
        <v>9.6305924661361196E-4</v>
      </c>
      <c r="W32" s="1">
        <v>9.63058796935126E-4</v>
      </c>
      <c r="X32" s="1">
        <v>9.6305849311486397E-4</v>
      </c>
      <c r="Y32" s="1">
        <v>9.6305828784205903E-4</v>
      </c>
      <c r="Z32" s="1">
        <v>9.6305814915174405E-4</v>
      </c>
      <c r="AA32" s="1">
        <v>9.63058055447152E-4</v>
      </c>
      <c r="AB32" s="1">
        <v>9.6305799213666603E-4</v>
      </c>
      <c r="AC32" s="1">
        <v>9.6305794936162796E-4</v>
      </c>
      <c r="AD32" s="1">
        <v>9.6305792046113897E-4</v>
      </c>
      <c r="AE32" s="1">
        <v>9.6305790093483804E-4</v>
      </c>
      <c r="AF32" s="1">
        <v>9.63057887742105E-4</v>
      </c>
      <c r="AG32" s="1">
        <v>9.6305787882857905E-4</v>
      </c>
      <c r="AH32" s="1">
        <v>9.6305787280625199E-4</v>
      </c>
    </row>
    <row r="33" spans="1:34" x14ac:dyDescent="0.25">
      <c r="A33" s="2">
        <v>31</v>
      </c>
      <c r="B33" s="1">
        <v>9.7130553024511702E-4</v>
      </c>
      <c r="C33" s="1">
        <v>9.69748555265814E-4</v>
      </c>
      <c r="D33" s="1">
        <v>9.68698014375118E-4</v>
      </c>
      <c r="E33" s="1">
        <v>9.6798887181898997E-4</v>
      </c>
      <c r="F33" s="1">
        <v>9.6751004110066203E-4</v>
      </c>
      <c r="G33" s="1">
        <v>9.6718665835005598E-4</v>
      </c>
      <c r="H33" s="1">
        <v>9.6696822946625103E-4</v>
      </c>
      <c r="I33" s="1">
        <v>9.6682067827561196E-4</v>
      </c>
      <c r="J33" s="1">
        <v>9.6672099965611701E-4</v>
      </c>
      <c r="K33" s="1">
        <v>9.6665365869464997E-4</v>
      </c>
      <c r="L33" s="1">
        <v>9.6660816315992696E-4</v>
      </c>
      <c r="M33" s="1">
        <v>9.6657742580779802E-4</v>
      </c>
      <c r="N33" s="1">
        <v>9.6655665900287596E-4</v>
      </c>
      <c r="O33" s="1">
        <v>9.6654262838924605E-4</v>
      </c>
      <c r="P33" s="1">
        <v>9.6653314887285295E-4</v>
      </c>
      <c r="Q33" s="1">
        <v>9.6652674419321898E-4</v>
      </c>
      <c r="R33" s="1">
        <v>9.6652241696503697E-4</v>
      </c>
      <c r="S33" s="1">
        <v>9.6651949333130202E-4</v>
      </c>
      <c r="T33" s="1">
        <v>9.6651751801494297E-4</v>
      </c>
      <c r="U33" s="1">
        <v>9.6651618341619602E-4</v>
      </c>
      <c r="V33" s="1">
        <v>9.6651528171009897E-4</v>
      </c>
      <c r="W33" s="1">
        <v>9.6651467248264804E-4</v>
      </c>
      <c r="X33" s="1">
        <v>9.66514260864959E-4</v>
      </c>
      <c r="Y33" s="1">
        <v>9.6651398276004002E-4</v>
      </c>
      <c r="Z33" s="1">
        <v>9.6651379486151895E-4</v>
      </c>
      <c r="AA33" s="1">
        <v>9.6651366790994502E-4</v>
      </c>
      <c r="AB33" s="1">
        <v>9.6651358213650405E-4</v>
      </c>
      <c r="AC33" s="1">
        <v>9.6651352418461499E-4</v>
      </c>
      <c r="AD33" s="1">
        <v>9.6651348503005205E-4</v>
      </c>
      <c r="AE33" s="1">
        <v>9.6651345857569901E-4</v>
      </c>
      <c r="AF33" s="1">
        <v>9.6651344070210296E-4</v>
      </c>
      <c r="AG33" s="1">
        <v>9.6651342862600199E-4</v>
      </c>
      <c r="AH33" s="1">
        <v>9.6651342046691596E-4</v>
      </c>
    </row>
    <row r="34" spans="1:34" x14ac:dyDescent="0.25">
      <c r="A34" s="2">
        <v>32</v>
      </c>
      <c r="B34" s="1">
        <v>9.5985921664497504E-4</v>
      </c>
      <c r="C34" s="1">
        <v>9.5794354011293403E-4</v>
      </c>
      <c r="D34" s="1">
        <v>9.5665139773681396E-4</v>
      </c>
      <c r="E34" s="1">
        <v>9.5577936206576802E-4</v>
      </c>
      <c r="F34" s="1">
        <v>9.5519063043685503E-4</v>
      </c>
      <c r="G34" s="1">
        <v>9.5479306550319304E-4</v>
      </c>
      <c r="H34" s="1">
        <v>9.5452454870365705E-4</v>
      </c>
      <c r="I34" s="1">
        <v>9.5434317097328302E-4</v>
      </c>
      <c r="J34" s="1">
        <v>9.5422064458139204E-4</v>
      </c>
      <c r="K34" s="1">
        <v>9.5413786985680505E-4</v>
      </c>
      <c r="L34" s="1">
        <v>9.54081948076302E-4</v>
      </c>
      <c r="M34" s="1">
        <v>9.5404416698744701E-4</v>
      </c>
      <c r="N34" s="1">
        <v>9.5401864145182595E-4</v>
      </c>
      <c r="O34" s="1">
        <v>9.5400139578747398E-4</v>
      </c>
      <c r="P34" s="1">
        <v>9.5398974411815103E-4</v>
      </c>
      <c r="Q34" s="1">
        <v>9.53981871874908E-4</v>
      </c>
      <c r="R34" s="1">
        <v>9.5397655311606504E-4</v>
      </c>
      <c r="S34" s="1">
        <v>9.5397295957122996E-4</v>
      </c>
      <c r="T34" s="1">
        <v>9.5397053163937299E-4</v>
      </c>
      <c r="U34" s="1">
        <v>9.5396889123709305E-4</v>
      </c>
      <c r="V34" s="1">
        <v>9.5396778291871695E-4</v>
      </c>
      <c r="W34" s="1">
        <v>9.5396703409617695E-4</v>
      </c>
      <c r="X34" s="1">
        <v>9.5396652816269901E-4</v>
      </c>
      <c r="Y34" s="1">
        <v>9.5396618633439496E-4</v>
      </c>
      <c r="Z34" s="1">
        <v>9.5396595538188404E-4</v>
      </c>
      <c r="AA34" s="1">
        <v>9.5396579934136196E-4</v>
      </c>
      <c r="AB34" s="1">
        <v>9.5396569391429395E-4</v>
      </c>
      <c r="AC34" s="1">
        <v>9.5396562268364703E-4</v>
      </c>
      <c r="AD34" s="1">
        <v>9.5396557455743795E-4</v>
      </c>
      <c r="AE34" s="1">
        <v>9.5396554204148904E-4</v>
      </c>
      <c r="AF34" s="1">
        <v>9.5396552007244201E-4</v>
      </c>
      <c r="AG34" s="1">
        <v>9.5396550522929501E-4</v>
      </c>
      <c r="AH34" s="1">
        <v>9.5396549520068295E-4</v>
      </c>
    </row>
    <row r="35" spans="1:34" x14ac:dyDescent="0.25">
      <c r="A35" s="2">
        <v>33</v>
      </c>
      <c r="B35" s="1">
        <v>9.6282596086631202E-4</v>
      </c>
      <c r="C35" s="1">
        <v>9.6078265408580004E-4</v>
      </c>
      <c r="D35" s="1">
        <v>9.5940457007183204E-4</v>
      </c>
      <c r="E35" s="1">
        <v>9.5847460112126795E-4</v>
      </c>
      <c r="F35" s="1">
        <v>9.5784678778528995E-4</v>
      </c>
      <c r="G35" s="1">
        <v>9.5742284521238899E-4</v>
      </c>
      <c r="H35" s="1">
        <v>9.5713651918863602E-4</v>
      </c>
      <c r="I35" s="1">
        <v>9.5694311457171304E-4</v>
      </c>
      <c r="J35" s="1">
        <v>9.5681246495596601E-4</v>
      </c>
      <c r="K35" s="1">
        <v>9.5672420305525701E-4</v>
      </c>
      <c r="L35" s="1">
        <v>9.5666457446780305E-4</v>
      </c>
      <c r="M35" s="1">
        <v>9.56624289163406E-4</v>
      </c>
      <c r="N35" s="1">
        <v>9.5659707179510101E-4</v>
      </c>
      <c r="O35" s="1">
        <v>9.5657868311411598E-4</v>
      </c>
      <c r="P35" s="1">
        <v>9.5656625920164003E-4</v>
      </c>
      <c r="Q35" s="1">
        <v>9.5655786521148397E-4</v>
      </c>
      <c r="R35" s="1">
        <v>9.5655219394492896E-4</v>
      </c>
      <c r="S35" s="1">
        <v>9.5654836223433605E-4</v>
      </c>
      <c r="T35" s="1">
        <v>9.5654577338939696E-4</v>
      </c>
      <c r="U35" s="1">
        <v>9.5654402426841197E-4</v>
      </c>
      <c r="V35" s="1">
        <v>9.5654284249563598E-4</v>
      </c>
      <c r="W35" s="1">
        <v>9.5654204404452801E-4</v>
      </c>
      <c r="X35" s="1">
        <v>9.5654150458009005E-4</v>
      </c>
      <c r="Y35" s="1">
        <v>9.5654114009697795E-4</v>
      </c>
      <c r="Z35" s="1">
        <v>9.5654089383800304E-4</v>
      </c>
      <c r="AA35" s="1">
        <v>9.5654072745583805E-4</v>
      </c>
      <c r="AB35" s="1">
        <v>9.5654061504155303E-4</v>
      </c>
      <c r="AC35" s="1">
        <v>9.5654053909006997E-4</v>
      </c>
      <c r="AD35" s="1">
        <v>9.5654048777428003E-4</v>
      </c>
      <c r="AE35" s="1">
        <v>9.5654045310332501E-4</v>
      </c>
      <c r="AF35" s="1">
        <v>9.5654042967827199E-4</v>
      </c>
      <c r="AG35" s="1">
        <v>9.5654041385138998E-4</v>
      </c>
      <c r="AH35" s="1">
        <v>9.5654040315812903E-4</v>
      </c>
    </row>
    <row r="36" spans="1:34" x14ac:dyDescent="0.25">
      <c r="A36" s="2">
        <v>34</v>
      </c>
      <c r="B36" s="1">
        <v>1.01036470639472E-3</v>
      </c>
      <c r="C36" s="1">
        <v>1.00837381350853E-3</v>
      </c>
      <c r="D36" s="1">
        <v>1.0070309083840001E-3</v>
      </c>
      <c r="E36" s="1">
        <v>1.0061246011249601E-3</v>
      </c>
      <c r="F36" s="1">
        <v>1.00551272600138E-3</v>
      </c>
      <c r="G36" s="1">
        <v>1.0050995297705299E-3</v>
      </c>
      <c r="H36" s="1">
        <v>1.0048204542982E-3</v>
      </c>
      <c r="I36" s="1">
        <v>1.00463194383045E-3</v>
      </c>
      <c r="J36" s="1">
        <v>1.0045045987910699E-3</v>
      </c>
      <c r="K36" s="1">
        <v>1.0044185686320199E-3</v>
      </c>
      <c r="L36" s="1">
        <v>1.0043604474586499E-3</v>
      </c>
      <c r="M36" s="1">
        <v>1.00432118042231E-3</v>
      </c>
      <c r="N36" s="1">
        <v>1.00429465094453E-3</v>
      </c>
      <c r="O36" s="1">
        <v>1.0042767269876499E-3</v>
      </c>
      <c r="P36" s="1">
        <v>1.00426461704196E-3</v>
      </c>
      <c r="Q36" s="1">
        <v>1.0042564351713701E-3</v>
      </c>
      <c r="R36" s="1">
        <v>1.0042509072171299E-3</v>
      </c>
      <c r="S36" s="1">
        <v>1.0042471723321401E-3</v>
      </c>
      <c r="T36" s="1">
        <v>1.00424464890554E-3</v>
      </c>
      <c r="U36" s="1">
        <v>1.00424294398337E-3</v>
      </c>
      <c r="V36" s="1">
        <v>1.0042417920728701E-3</v>
      </c>
      <c r="W36" s="1">
        <v>1.00424101379781E-3</v>
      </c>
      <c r="X36" s="1">
        <v>1.0042404879650601E-3</v>
      </c>
      <c r="Y36" s="1">
        <v>1.0042401326920301E-3</v>
      </c>
      <c r="Z36" s="1">
        <v>1.00423989265574E-3</v>
      </c>
      <c r="AA36" s="1">
        <v>1.0042397304778699E-3</v>
      </c>
      <c r="AB36" s="1">
        <v>1.00423962090416E-3</v>
      </c>
      <c r="AC36" s="1">
        <v>1.0042395468718901E-3</v>
      </c>
      <c r="AD36" s="1">
        <v>1.0042394968527899E-3</v>
      </c>
      <c r="AE36" s="1">
        <v>1.00423946305793E-3</v>
      </c>
      <c r="AF36" s="1">
        <v>1.0042394402248001E-3</v>
      </c>
      <c r="AG36" s="1">
        <v>1.00423942479784E-3</v>
      </c>
      <c r="AH36" s="1">
        <v>1.00423941437479E-3</v>
      </c>
    </row>
    <row r="37" spans="1:34" x14ac:dyDescent="0.25">
      <c r="A37" s="2">
        <v>35</v>
      </c>
      <c r="B37" s="1">
        <v>1.07240705347299E-3</v>
      </c>
      <c r="C37" s="1">
        <v>1.07014313381937E-3</v>
      </c>
      <c r="D37" s="1">
        <v>1.06861624565507E-3</v>
      </c>
      <c r="E37" s="1">
        <v>1.0675858530037E-3</v>
      </c>
      <c r="F37" s="1">
        <v>1.0668902415694301E-3</v>
      </c>
      <c r="G37" s="1">
        <v>1.0664205157084499E-3</v>
      </c>
      <c r="H37" s="1">
        <v>1.0661032675451699E-3</v>
      </c>
      <c r="I37" s="1">
        <v>1.06588897566828E-3</v>
      </c>
      <c r="J37" s="1">
        <v>1.0657442160603701E-3</v>
      </c>
      <c r="K37" s="1">
        <v>1.06564642192743E-3</v>
      </c>
      <c r="L37" s="1">
        <v>1.06558035346129E-3</v>
      </c>
      <c r="M37" s="1">
        <v>1.06553571733757E-3</v>
      </c>
      <c r="N37" s="1">
        <v>1.0655055604834899E-3</v>
      </c>
      <c r="O37" s="1">
        <v>1.0654851858156299E-3</v>
      </c>
      <c r="P37" s="1">
        <v>1.06547142011313E-3</v>
      </c>
      <c r="Q37" s="1">
        <v>1.06546211956644E-3</v>
      </c>
      <c r="R37" s="1">
        <v>1.06545583579908E-3</v>
      </c>
      <c r="S37" s="1">
        <v>1.0654515902609101E-3</v>
      </c>
      <c r="T37" s="1">
        <v>1.06544872181876E-3</v>
      </c>
      <c r="U37" s="1">
        <v>1.06544678379136E-3</v>
      </c>
      <c r="V37" s="1">
        <v>1.0654454743862E-3</v>
      </c>
      <c r="W37" s="1">
        <v>1.0654445897017399E-3</v>
      </c>
      <c r="X37" s="1">
        <v>1.0654439919747199E-3</v>
      </c>
      <c r="Y37" s="1">
        <v>1.06544358812714E-3</v>
      </c>
      <c r="Z37" s="1">
        <v>1.065443315272E-3</v>
      </c>
      <c r="AA37" s="1">
        <v>1.06544313092043E-3</v>
      </c>
      <c r="AB37" s="1">
        <v>1.0654430063653101E-3</v>
      </c>
      <c r="AC37" s="1">
        <v>1.06544292221101E-3</v>
      </c>
      <c r="AD37" s="1">
        <v>1.06544286535307E-3</v>
      </c>
      <c r="AE37" s="1">
        <v>1.0654428269376299E-3</v>
      </c>
      <c r="AF37" s="1">
        <v>1.06544280098265E-3</v>
      </c>
      <c r="AG37" s="1">
        <v>1.0654427834464501E-3</v>
      </c>
      <c r="AH37" s="1">
        <v>1.06544277159831E-3</v>
      </c>
    </row>
    <row r="38" spans="1:34" x14ac:dyDescent="0.25">
      <c r="A38" s="2">
        <v>36</v>
      </c>
      <c r="B38" s="1">
        <v>1.1401674292558E-3</v>
      </c>
      <c r="C38" s="1">
        <v>1.13743655057285E-3</v>
      </c>
      <c r="D38" s="1">
        <v>1.1355951634776399E-3</v>
      </c>
      <c r="E38" s="1">
        <v>1.13435273707489E-3</v>
      </c>
      <c r="F38" s="1">
        <v>1.13351407428688E-3</v>
      </c>
      <c r="G38" s="1">
        <v>1.13294779170481E-3</v>
      </c>
      <c r="H38" s="1">
        <v>1.13256534909183E-3</v>
      </c>
      <c r="I38" s="1">
        <v>1.1323070289358901E-3</v>
      </c>
      <c r="J38" s="1">
        <v>1.1321325310634E-3</v>
      </c>
      <c r="K38" s="1">
        <v>1.13201464868611E-3</v>
      </c>
      <c r="L38" s="1">
        <v>1.13193500968317E-3</v>
      </c>
      <c r="M38" s="1">
        <v>1.1318812056260101E-3</v>
      </c>
      <c r="N38" s="1">
        <v>1.1318448549463599E-3</v>
      </c>
      <c r="O38" s="1">
        <v>1.1318202956651299E-3</v>
      </c>
      <c r="P38" s="1">
        <v>1.1318037027551501E-3</v>
      </c>
      <c r="Q38" s="1">
        <v>1.1317924920734501E-3</v>
      </c>
      <c r="R38" s="1">
        <v>1.13178491776101E-3</v>
      </c>
      <c r="S38" s="1">
        <v>1.1317798002878001E-3</v>
      </c>
      <c r="T38" s="1">
        <v>1.1317763427357299E-3</v>
      </c>
      <c r="U38" s="1">
        <v>1.1317740066842301E-3</v>
      </c>
      <c r="V38" s="1">
        <v>1.1317724283591399E-3</v>
      </c>
      <c r="W38" s="1">
        <v>1.13177136198219E-3</v>
      </c>
      <c r="X38" s="1">
        <v>1.1317706414967601E-3</v>
      </c>
      <c r="Y38" s="1">
        <v>1.1317701547088701E-3</v>
      </c>
      <c r="Z38" s="1">
        <v>1.13176982581604E-3</v>
      </c>
      <c r="AA38" s="1">
        <v>1.13176960360323E-3</v>
      </c>
      <c r="AB38" s="1">
        <v>1.13176945346758E-3</v>
      </c>
      <c r="AC38" s="1">
        <v>1.1317693520300799E-3</v>
      </c>
      <c r="AD38" s="1">
        <v>1.1317692834949299E-3</v>
      </c>
      <c r="AE38" s="1">
        <v>1.13176923718991E-3</v>
      </c>
      <c r="AF38" s="1">
        <v>1.13176920590442E-3</v>
      </c>
      <c r="AG38" s="1">
        <v>1.13176918476673E-3</v>
      </c>
      <c r="AH38" s="1">
        <v>1.1317691704852699E-3</v>
      </c>
    </row>
    <row r="39" spans="1:34" x14ac:dyDescent="0.25">
      <c r="A39" s="2">
        <v>37</v>
      </c>
      <c r="B39" s="1">
        <v>1.19665663525305E-3</v>
      </c>
      <c r="C39" s="1">
        <v>1.1935551399866299E-3</v>
      </c>
      <c r="D39" s="1">
        <v>1.19146419725578E-3</v>
      </c>
      <c r="E39" s="1">
        <v>1.19005354719489E-3</v>
      </c>
      <c r="F39" s="1">
        <v>1.1891014017853399E-3</v>
      </c>
      <c r="G39" s="1">
        <v>1.1884585260937401E-3</v>
      </c>
      <c r="H39" s="1">
        <v>1.1880243707569601E-3</v>
      </c>
      <c r="I39" s="1">
        <v>1.1877311281501999E-3</v>
      </c>
      <c r="J39" s="1">
        <v>1.18753304291905E-3</v>
      </c>
      <c r="K39" s="1">
        <v>1.1873992274748801E-3</v>
      </c>
      <c r="L39" s="1">
        <v>1.1873088250548001E-3</v>
      </c>
      <c r="M39" s="1">
        <v>1.1872477495358999E-3</v>
      </c>
      <c r="N39" s="1">
        <v>1.18720648630264E-3</v>
      </c>
      <c r="O39" s="1">
        <v>1.18717860805883E-3</v>
      </c>
      <c r="P39" s="1">
        <v>1.1871597727967E-3</v>
      </c>
      <c r="Q39" s="1">
        <v>1.1871470471255801E-3</v>
      </c>
      <c r="R39" s="1">
        <v>1.1871384492413599E-3</v>
      </c>
      <c r="S39" s="1">
        <v>1.1871326402095499E-3</v>
      </c>
      <c r="T39" s="1">
        <v>1.1871287154164099E-3</v>
      </c>
      <c r="U39" s="1">
        <v>1.18712606367992E-3</v>
      </c>
      <c r="V39" s="1">
        <v>1.1871242720663199E-3</v>
      </c>
      <c r="W39" s="1">
        <v>1.1871230615836E-3</v>
      </c>
      <c r="X39" s="1">
        <v>1.1871222437348E-3</v>
      </c>
      <c r="Y39" s="1">
        <v>1.18712169116446E-3</v>
      </c>
      <c r="Z39" s="1">
        <v>1.18712131782647E-3</v>
      </c>
      <c r="AA39" s="1">
        <v>1.18712106558477E-3</v>
      </c>
      <c r="AB39" s="1">
        <v>1.18712089516044E-3</v>
      </c>
      <c r="AC39" s="1">
        <v>1.1871207800151101E-3</v>
      </c>
      <c r="AD39" s="1">
        <v>1.1871207022184299E-3</v>
      </c>
      <c r="AE39" s="1">
        <v>1.18712064965594E-3</v>
      </c>
      <c r="AF39" s="1">
        <v>1.1871206141426699E-3</v>
      </c>
      <c r="AG39" s="1">
        <v>1.18712059014852E-3</v>
      </c>
      <c r="AH39" s="1">
        <v>1.1871205739371301E-3</v>
      </c>
    </row>
    <row r="40" spans="1:34" x14ac:dyDescent="0.25">
      <c r="A40" s="2">
        <v>38</v>
      </c>
      <c r="B40" s="1">
        <v>1.23344693068294E-3</v>
      </c>
      <c r="C40" s="1">
        <v>1.2298879083972301E-3</v>
      </c>
      <c r="D40" s="1">
        <v>1.2274891049895301E-3</v>
      </c>
      <c r="E40" s="1">
        <v>1.22587102690287E-3</v>
      </c>
      <c r="F40" s="1">
        <v>1.22477899684693E-3</v>
      </c>
      <c r="G40" s="1">
        <v>1.22404172899044E-3</v>
      </c>
      <c r="H40" s="1">
        <v>1.2235438530600099E-3</v>
      </c>
      <c r="I40" s="1">
        <v>1.2232075831664E-3</v>
      </c>
      <c r="J40" s="1">
        <v>1.2229804383510701E-3</v>
      </c>
      <c r="K40" s="1">
        <v>1.2228269942873701E-3</v>
      </c>
      <c r="L40" s="1">
        <v>1.22272333236469E-3</v>
      </c>
      <c r="M40" s="1">
        <v>1.2226532992845099E-3</v>
      </c>
      <c r="N40" s="1">
        <v>1.22260598446418E-3</v>
      </c>
      <c r="O40" s="1">
        <v>1.2225740177558399E-3</v>
      </c>
      <c r="P40" s="1">
        <v>1.22255242026957E-3</v>
      </c>
      <c r="Q40" s="1">
        <v>1.22253782837852E-3</v>
      </c>
      <c r="R40" s="1">
        <v>1.22252796962443E-3</v>
      </c>
      <c r="S40" s="1">
        <v>1.2225213087093401E-3</v>
      </c>
      <c r="T40" s="1">
        <v>1.2225168083549701E-3</v>
      </c>
      <c r="U40" s="1">
        <v>1.22251376774882E-3</v>
      </c>
      <c r="V40" s="1">
        <v>1.2225117134006E-3</v>
      </c>
      <c r="W40" s="1">
        <v>1.2225103254045E-3</v>
      </c>
      <c r="X40" s="1">
        <v>1.2225093876209101E-3</v>
      </c>
      <c r="Y40" s="1">
        <v>1.2225087540180201E-3</v>
      </c>
      <c r="Z40" s="1">
        <v>1.2225083259313099E-3</v>
      </c>
      <c r="AA40" s="1">
        <v>1.2225080366992499E-3</v>
      </c>
      <c r="AB40" s="1">
        <v>1.2225078412828E-3</v>
      </c>
      <c r="AC40" s="1">
        <v>1.2225077092518099E-3</v>
      </c>
      <c r="AD40" s="1">
        <v>1.2225076200465201E-3</v>
      </c>
      <c r="AE40" s="1">
        <v>1.2225075597759301E-3</v>
      </c>
      <c r="AF40" s="1">
        <v>1.2225075190547699E-3</v>
      </c>
      <c r="AG40" s="1">
        <v>1.22250749154196E-3</v>
      </c>
      <c r="AH40" s="1">
        <v>1.22250747295323E-3</v>
      </c>
    </row>
    <row r="41" spans="1:34" x14ac:dyDescent="0.25">
      <c r="A41" s="2">
        <v>39</v>
      </c>
      <c r="B41" s="1">
        <v>1.29092067009071E-3</v>
      </c>
      <c r="C41" s="1">
        <v>1.2868477443684599E-3</v>
      </c>
      <c r="D41" s="1">
        <v>1.2841031882649401E-3</v>
      </c>
      <c r="E41" s="1">
        <v>1.2822521708621001E-3</v>
      </c>
      <c r="F41" s="1">
        <v>1.28100306071691E-3</v>
      </c>
      <c r="G41" s="1">
        <v>1.28015980145316E-3</v>
      </c>
      <c r="H41" s="1">
        <v>1.2795903765391299E-3</v>
      </c>
      <c r="I41" s="1">
        <v>1.2792057940743001E-3</v>
      </c>
      <c r="J41" s="1">
        <v>1.2789460205009399E-3</v>
      </c>
      <c r="K41" s="1">
        <v>1.27877053715235E-3</v>
      </c>
      <c r="L41" s="1">
        <v>1.2786519873560099E-3</v>
      </c>
      <c r="M41" s="1">
        <v>1.2785718966916899E-3</v>
      </c>
      <c r="N41" s="1">
        <v>1.27851778714262E-3</v>
      </c>
      <c r="O41" s="1">
        <v>1.27848122990924E-3</v>
      </c>
      <c r="P41" s="1">
        <v>1.2784565310031001E-3</v>
      </c>
      <c r="Q41" s="1">
        <v>1.2784398437255E-3</v>
      </c>
      <c r="R41" s="1">
        <v>1.2784285692709499E-3</v>
      </c>
      <c r="S41" s="1">
        <v>1.2784209518644999E-3</v>
      </c>
      <c r="T41" s="1">
        <v>1.27841580527229E-3</v>
      </c>
      <c r="U41" s="1">
        <v>1.2784123280449101E-3</v>
      </c>
      <c r="V41" s="1">
        <v>1.2784099786993699E-3</v>
      </c>
      <c r="W41" s="1">
        <v>1.2784083913920301E-3</v>
      </c>
      <c r="X41" s="1">
        <v>1.2784073189461801E-3</v>
      </c>
      <c r="Y41" s="1">
        <v>1.27840659436032E-3</v>
      </c>
      <c r="Z41" s="1">
        <v>1.27840610480198E-3</v>
      </c>
      <c r="AA41" s="1">
        <v>1.27840577403732E-3</v>
      </c>
      <c r="AB41" s="1">
        <v>1.27840555055981E-3</v>
      </c>
      <c r="AC41" s="1">
        <v>1.2784053995696901E-3</v>
      </c>
      <c r="AD41" s="1">
        <v>1.2784052975548599E-3</v>
      </c>
      <c r="AE41" s="1">
        <v>1.2784052286296599E-3</v>
      </c>
      <c r="AF41" s="1">
        <v>1.2784051820611E-3</v>
      </c>
      <c r="AG41" s="1">
        <v>1.2784051505975501E-3</v>
      </c>
      <c r="AH41" s="1">
        <v>1.27840512933955E-3</v>
      </c>
    </row>
    <row r="42" spans="1:34" x14ac:dyDescent="0.25">
      <c r="A42" s="2">
        <v>40</v>
      </c>
      <c r="B42" s="1">
        <v>1.3786329351758401E-3</v>
      </c>
      <c r="C42" s="1">
        <v>1.37407715433256E-3</v>
      </c>
      <c r="D42" s="1">
        <v>1.37100760972906E-3</v>
      </c>
      <c r="E42" s="1">
        <v>1.3689375850758599E-3</v>
      </c>
      <c r="F42" s="1">
        <v>1.36754076369039E-3</v>
      </c>
      <c r="G42" s="1">
        <v>1.36659782283338E-3</v>
      </c>
      <c r="H42" s="1">
        <v>1.36596110290533E-3</v>
      </c>
      <c r="I42" s="1">
        <v>1.36553107782631E-3</v>
      </c>
      <c r="J42" s="1">
        <v>1.36524061263783E-3</v>
      </c>
      <c r="K42" s="1">
        <v>1.3650443979411899E-3</v>
      </c>
      <c r="L42" s="1">
        <v>1.3649118435662101E-3</v>
      </c>
      <c r="M42" s="1">
        <v>1.36482229192463E-3</v>
      </c>
      <c r="N42" s="1">
        <v>1.3647617906548E-3</v>
      </c>
      <c r="O42" s="1">
        <v>1.36472091514645E-3</v>
      </c>
      <c r="P42" s="1">
        <v>1.36469329874596E-3</v>
      </c>
      <c r="Q42" s="1">
        <v>1.3646746403412E-3</v>
      </c>
      <c r="R42" s="1">
        <v>1.3646620341371E-3</v>
      </c>
      <c r="S42" s="1">
        <v>1.3646535169581601E-3</v>
      </c>
      <c r="T42" s="1">
        <v>1.36464776244884E-3</v>
      </c>
      <c r="U42" s="1">
        <v>1.3646438744908799E-3</v>
      </c>
      <c r="V42" s="1">
        <v>1.3646412476406001E-3</v>
      </c>
      <c r="W42" s="1">
        <v>1.3646394728406099E-3</v>
      </c>
      <c r="X42" s="1">
        <v>1.3646382737176001E-3</v>
      </c>
      <c r="Y42" s="1">
        <v>1.36463746354375E-3</v>
      </c>
      <c r="Z42" s="1">
        <v>1.3646369161588799E-3</v>
      </c>
      <c r="AA42" s="1">
        <v>1.3646365463243599E-3</v>
      </c>
      <c r="AB42" s="1">
        <v>1.36463629644974E-3</v>
      </c>
      <c r="AC42" s="1">
        <v>1.3646361276246899E-3</v>
      </c>
      <c r="AD42" s="1">
        <v>1.3646360135599E-3</v>
      </c>
      <c r="AE42" s="1">
        <v>1.36463593649326E-3</v>
      </c>
      <c r="AF42" s="1">
        <v>1.36463588442403E-3</v>
      </c>
      <c r="AG42" s="1">
        <v>1.36463584924403E-3</v>
      </c>
      <c r="AH42" s="1">
        <v>1.36463582547504E-3</v>
      </c>
    </row>
    <row r="43" spans="1:34" x14ac:dyDescent="0.25">
      <c r="A43" s="2">
        <v>41</v>
      </c>
      <c r="B43" s="1">
        <v>1.49125060920654E-3</v>
      </c>
      <c r="C43" s="1">
        <v>1.48671924213954E-3</v>
      </c>
      <c r="D43" s="1">
        <v>1.4836654642273301E-3</v>
      </c>
      <c r="E43" s="1">
        <v>1.4816057612003599E-3</v>
      </c>
      <c r="F43" s="1">
        <v>1.48021576287345E-3</v>
      </c>
      <c r="G43" s="1">
        <v>1.4792773633157299E-3</v>
      </c>
      <c r="H43" s="1">
        <v>1.47864368038255E-3</v>
      </c>
      <c r="I43" s="1">
        <v>1.4782156929480999E-3</v>
      </c>
      <c r="J43" s="1">
        <v>1.4779265979628601E-3</v>
      </c>
      <c r="K43" s="1">
        <v>1.47773130605904E-3</v>
      </c>
      <c r="L43" s="1">
        <v>1.47759937380356E-3</v>
      </c>
      <c r="M43" s="1">
        <v>1.47751024187163E-3</v>
      </c>
      <c r="N43" s="1">
        <v>1.47745002389171E-3</v>
      </c>
      <c r="O43" s="1">
        <v>1.4774093396562301E-3</v>
      </c>
      <c r="P43" s="1">
        <v>1.47738185242834E-3</v>
      </c>
      <c r="Q43" s="1">
        <v>1.4773632812708E-3</v>
      </c>
      <c r="R43" s="1">
        <v>1.4773507340020699E-3</v>
      </c>
      <c r="S43" s="1">
        <v>1.47734225663658E-3</v>
      </c>
      <c r="T43" s="1">
        <v>1.4773365290242299E-3</v>
      </c>
      <c r="U43" s="1">
        <v>1.47733265923774E-3</v>
      </c>
      <c r="V43" s="1">
        <v>1.4773300446642901E-3</v>
      </c>
      <c r="W43" s="1">
        <v>1.4773282781587701E-3</v>
      </c>
      <c r="X43" s="1">
        <v>1.47732708463971E-3</v>
      </c>
      <c r="Y43" s="1">
        <v>1.47732627825207E-3</v>
      </c>
      <c r="Z43" s="1">
        <v>1.47732573342527E-3</v>
      </c>
      <c r="AA43" s="1">
        <v>1.4773253653190799E-3</v>
      </c>
      <c r="AB43" s="1">
        <v>1.47732511661219E-3</v>
      </c>
      <c r="AC43" s="1">
        <v>1.4773249485761E-3</v>
      </c>
      <c r="AD43" s="1">
        <v>1.47732483504435E-3</v>
      </c>
      <c r="AE43" s="1">
        <v>1.4773247583378701E-3</v>
      </c>
      <c r="AF43" s="1">
        <v>1.4773247065119699E-3</v>
      </c>
      <c r="AG43" s="1">
        <v>1.4773246714963599E-3</v>
      </c>
      <c r="AH43" s="1">
        <v>1.4773246478384499E-3</v>
      </c>
    </row>
    <row r="44" spans="1:34" x14ac:dyDescent="0.25">
      <c r="A44" s="2">
        <v>42</v>
      </c>
      <c r="B44" s="1">
        <v>1.6035227525413301E-3</v>
      </c>
      <c r="C44" s="1">
        <v>1.59928021100754E-3</v>
      </c>
      <c r="D44" s="1">
        <v>1.5964201345954701E-3</v>
      </c>
      <c r="E44" s="1">
        <v>1.59449064861419E-3</v>
      </c>
      <c r="F44" s="1">
        <v>1.5931883315822299E-3</v>
      </c>
      <c r="G44" s="1">
        <v>1.59230903691664E-3</v>
      </c>
      <c r="H44" s="1">
        <v>1.5917152255341101E-3</v>
      </c>
      <c r="I44" s="1">
        <v>1.59131414858481E-3</v>
      </c>
      <c r="J44" s="1">
        <v>1.5910432224663801E-3</v>
      </c>
      <c r="K44" s="1">
        <v>1.5908602002685901E-3</v>
      </c>
      <c r="L44" s="1">
        <v>1.59073655521789E-3</v>
      </c>
      <c r="M44" s="1">
        <v>1.59065302121861E-3</v>
      </c>
      <c r="N44" s="1">
        <v>1.59059658486091E-3</v>
      </c>
      <c r="O44" s="1">
        <v>1.59055845538169E-3</v>
      </c>
      <c r="P44" s="1">
        <v>1.5905326941304E-3</v>
      </c>
      <c r="Q44" s="1">
        <v>1.5905152890569099E-3</v>
      </c>
      <c r="R44" s="1">
        <v>1.5905035296158801E-3</v>
      </c>
      <c r="S44" s="1">
        <v>1.59049558452652E-3</v>
      </c>
      <c r="T44" s="1">
        <v>1.59049021653568E-3</v>
      </c>
      <c r="U44" s="1">
        <v>1.59048658972125E-3</v>
      </c>
      <c r="V44" s="1">
        <v>1.5904841393081699E-3</v>
      </c>
      <c r="W44" s="1">
        <v>1.59048248371534E-3</v>
      </c>
      <c r="X44" s="1">
        <v>1.5904813651329999E-3</v>
      </c>
      <c r="Y44" s="1">
        <v>1.5904806093754501E-3</v>
      </c>
      <c r="Z44" s="1">
        <v>1.5904800987562801E-3</v>
      </c>
      <c r="AA44" s="1">
        <v>1.59047975376208E-3</v>
      </c>
      <c r="AB44" s="1">
        <v>1.59047952067053E-3</v>
      </c>
      <c r="AC44" s="1">
        <v>1.5904793631847901E-3</v>
      </c>
      <c r="AD44" s="1">
        <v>1.59047925678126E-3</v>
      </c>
      <c r="AE44" s="1">
        <v>1.5904791848908801E-3</v>
      </c>
      <c r="AF44" s="1">
        <v>1.59047913631893E-3</v>
      </c>
      <c r="AG44" s="1">
        <v>1.5904791035018201E-3</v>
      </c>
      <c r="AH44" s="1">
        <v>1.59047908132929E-3</v>
      </c>
    </row>
    <row r="45" spans="1:34" x14ac:dyDescent="0.25">
      <c r="A45" s="2">
        <v>43</v>
      </c>
      <c r="B45" s="1">
        <v>1.7071928826274401E-3</v>
      </c>
      <c r="C45" s="1">
        <v>1.70293182268987E-3</v>
      </c>
      <c r="D45" s="1">
        <v>1.7000589006492099E-3</v>
      </c>
      <c r="E45" s="1">
        <v>1.6981205838295199E-3</v>
      </c>
      <c r="F45" s="1">
        <v>1.69681223120748E-3</v>
      </c>
      <c r="G45" s="1">
        <v>1.6959288271588299E-3</v>
      </c>
      <c r="H45" s="1">
        <v>1.6953322249527801E-3</v>
      </c>
      <c r="I45" s="1">
        <v>1.69492925586234E-3</v>
      </c>
      <c r="J45" s="1">
        <v>1.6946570483502099E-3</v>
      </c>
      <c r="K45" s="1">
        <v>1.6944731590286899E-3</v>
      </c>
      <c r="L45" s="1">
        <v>1.6943489274927699E-3</v>
      </c>
      <c r="M45" s="1">
        <v>1.69426499695702E-3</v>
      </c>
      <c r="N45" s="1">
        <v>1.6942082925540699E-3</v>
      </c>
      <c r="O45" s="1">
        <v>1.6941699819138E-3</v>
      </c>
      <c r="P45" s="1">
        <v>1.6941440982359999E-3</v>
      </c>
      <c r="Q45" s="1">
        <v>1.6941266104340299E-3</v>
      </c>
      <c r="R45" s="1">
        <v>1.6941147950927801E-3</v>
      </c>
      <c r="S45" s="1">
        <v>1.69410681223246E-3</v>
      </c>
      <c r="T45" s="1">
        <v>1.6941014187209101E-3</v>
      </c>
      <c r="U45" s="1">
        <v>1.6940977746631601E-3</v>
      </c>
      <c r="V45" s="1">
        <v>1.69409531259957E-3</v>
      </c>
      <c r="W45" s="1">
        <v>1.6940936491350899E-3</v>
      </c>
      <c r="X45" s="1">
        <v>1.6940925252343099E-3</v>
      </c>
      <c r="Y45" s="1">
        <v>1.6940917658833899E-3</v>
      </c>
      <c r="Z45" s="1">
        <v>1.6940912528363801E-3</v>
      </c>
      <c r="AA45" s="1">
        <v>1.69409090620183E-3</v>
      </c>
      <c r="AB45" s="1">
        <v>1.6940906720020099E-3</v>
      </c>
      <c r="AC45" s="1">
        <v>1.6940905137674601E-3</v>
      </c>
      <c r="AD45" s="1">
        <v>1.69409040685801E-3</v>
      </c>
      <c r="AE45" s="1">
        <v>1.69409033462581E-3</v>
      </c>
      <c r="AF45" s="1">
        <v>1.6940902858229099E-3</v>
      </c>
      <c r="AG45" s="1">
        <v>1.6940902528497701E-3</v>
      </c>
      <c r="AH45" s="1">
        <v>1.69409023057182E-3</v>
      </c>
    </row>
    <row r="46" spans="1:34" x14ac:dyDescent="0.25">
      <c r="A46" s="2">
        <v>44</v>
      </c>
      <c r="B46" s="1">
        <v>1.81108784212131E-3</v>
      </c>
      <c r="C46" s="1">
        <v>1.80644167300834E-3</v>
      </c>
      <c r="D46" s="1">
        <v>1.803309282199E-3</v>
      </c>
      <c r="E46" s="1">
        <v>1.80119598882603E-3</v>
      </c>
      <c r="F46" s="1">
        <v>1.79976956593113E-3</v>
      </c>
      <c r="G46" s="1">
        <v>1.798806457724E-3</v>
      </c>
      <c r="H46" s="1">
        <v>1.7981560356261101E-3</v>
      </c>
      <c r="I46" s="1">
        <v>1.7977167180179201E-3</v>
      </c>
      <c r="J46" s="1">
        <v>1.79741995855384E-3</v>
      </c>
      <c r="K46" s="1">
        <v>1.79721948395261E-3</v>
      </c>
      <c r="L46" s="1">
        <v>1.7970840481127399E-3</v>
      </c>
      <c r="M46" s="1">
        <v>1.7969925481315699E-3</v>
      </c>
      <c r="N46" s="1">
        <v>1.79693072979844E-3</v>
      </c>
      <c r="O46" s="1">
        <v>1.7968889641161701E-3</v>
      </c>
      <c r="P46" s="1">
        <v>1.7968607461358299E-3</v>
      </c>
      <c r="Q46" s="1">
        <v>1.7968416812146799E-3</v>
      </c>
      <c r="R46" s="1">
        <v>1.7968288003222799E-3</v>
      </c>
      <c r="S46" s="1">
        <v>1.79682009753953E-3</v>
      </c>
      <c r="T46" s="1">
        <v>1.7968142176227799E-3</v>
      </c>
      <c r="U46" s="1">
        <v>1.7968102449318101E-3</v>
      </c>
      <c r="V46" s="1">
        <v>1.7968075608312899E-3</v>
      </c>
      <c r="W46" s="1">
        <v>1.79680574735021E-3</v>
      </c>
      <c r="X46" s="1">
        <v>1.7968045220924701E-3</v>
      </c>
      <c r="Y46" s="1">
        <v>1.79680369426086E-3</v>
      </c>
      <c r="Z46" s="1">
        <v>1.79680313494564E-3</v>
      </c>
      <c r="AA46" s="1">
        <v>1.7968027570504899E-3</v>
      </c>
      <c r="AB46" s="1">
        <v>1.79680250172979E-3</v>
      </c>
      <c r="AC46" s="1">
        <v>1.7968023292251501E-3</v>
      </c>
      <c r="AD46" s="1">
        <v>1.79680221267427E-3</v>
      </c>
      <c r="AE46" s="1">
        <v>1.79680213392794E-3</v>
      </c>
      <c r="AF46" s="1">
        <v>1.7968020807238401E-3</v>
      </c>
      <c r="AG46" s="1">
        <v>1.79680204477707E-3</v>
      </c>
      <c r="AH46" s="1">
        <v>1.7968020204900299E-3</v>
      </c>
    </row>
    <row r="47" spans="1:34" x14ac:dyDescent="0.25">
      <c r="A47" s="2">
        <v>45</v>
      </c>
      <c r="B47" s="1">
        <v>1.9282724234238901E-3</v>
      </c>
      <c r="C47" s="1">
        <v>1.9233454197132801E-3</v>
      </c>
      <c r="D47" s="1">
        <v>1.9200236645957401E-3</v>
      </c>
      <c r="E47" s="1">
        <v>1.9177826017932899E-3</v>
      </c>
      <c r="F47" s="1">
        <v>1.9162699315302899E-3</v>
      </c>
      <c r="G47" s="1">
        <v>1.9152485871053301E-3</v>
      </c>
      <c r="H47" s="1">
        <v>1.9145588347096701E-3</v>
      </c>
      <c r="I47" s="1">
        <v>1.91409295148327E-3</v>
      </c>
      <c r="J47" s="1">
        <v>1.9137782466571299E-3</v>
      </c>
      <c r="K47" s="1">
        <v>1.91356564902305E-3</v>
      </c>
      <c r="L47" s="1">
        <v>1.91342202309801E-3</v>
      </c>
      <c r="M47" s="1">
        <v>1.91332498989897E-3</v>
      </c>
      <c r="N47" s="1">
        <v>1.9132594332553099E-3</v>
      </c>
      <c r="O47" s="1">
        <v>1.9132151418917E-3</v>
      </c>
      <c r="P47" s="1">
        <v>1.91318521749304E-3</v>
      </c>
      <c r="Q47" s="1">
        <v>1.91316499966296E-3</v>
      </c>
      <c r="R47" s="1">
        <v>1.9131513398266101E-3</v>
      </c>
      <c r="S47" s="1">
        <v>1.91314211076178E-3</v>
      </c>
      <c r="T47" s="1">
        <v>1.9131358752695899E-3</v>
      </c>
      <c r="U47" s="1">
        <v>1.9131316623385501E-3</v>
      </c>
      <c r="V47" s="1">
        <v>1.91312881592273E-3</v>
      </c>
      <c r="W47" s="1">
        <v>1.9131268927751999E-3</v>
      </c>
      <c r="X47" s="1">
        <v>1.9131255934225701E-3</v>
      </c>
      <c r="Y47" s="1">
        <v>1.91312471552958E-3</v>
      </c>
      <c r="Z47" s="1">
        <v>1.91312412239095E-3</v>
      </c>
      <c r="AA47" s="1">
        <v>1.9131237216433799E-3</v>
      </c>
      <c r="AB47" s="1">
        <v>1.91312345088269E-3</v>
      </c>
      <c r="AC47" s="1">
        <v>1.9131232679462E-3</v>
      </c>
      <c r="AD47" s="1">
        <v>1.91312314434715E-3</v>
      </c>
      <c r="AE47" s="1">
        <v>1.9131230608388E-3</v>
      </c>
      <c r="AF47" s="1">
        <v>1.9131230044172999E-3</v>
      </c>
      <c r="AG47" s="1">
        <v>1.9131229662967199E-3</v>
      </c>
      <c r="AH47" s="1">
        <v>1.9131229405409699E-3</v>
      </c>
    </row>
    <row r="48" spans="1:34" x14ac:dyDescent="0.25">
      <c r="A48" s="2">
        <v>46</v>
      </c>
      <c r="B48" s="1">
        <v>2.0855973684190099E-3</v>
      </c>
      <c r="C48" s="1">
        <v>2.0803316719667998E-3</v>
      </c>
      <c r="D48" s="1">
        <v>2.0767814813052901E-3</v>
      </c>
      <c r="E48" s="1">
        <v>2.0743862601783499E-3</v>
      </c>
      <c r="F48" s="1">
        <v>2.0727695173697902E-3</v>
      </c>
      <c r="G48" s="1">
        <v>2.0716778952568301E-3</v>
      </c>
      <c r="H48" s="1">
        <v>2.0709406777511701E-3</v>
      </c>
      <c r="I48" s="1">
        <v>2.0704427331093901E-3</v>
      </c>
      <c r="J48" s="1">
        <v>2.0701063699283999E-3</v>
      </c>
      <c r="K48" s="1">
        <v>2.0698791407017299E-3</v>
      </c>
      <c r="L48" s="1">
        <v>2.0697256298484999E-3</v>
      </c>
      <c r="M48" s="1">
        <v>2.06962191834675E-3</v>
      </c>
      <c r="N48" s="1">
        <v>2.0695518497363501E-3</v>
      </c>
      <c r="O48" s="1">
        <v>2.0695045099826202E-3</v>
      </c>
      <c r="P48" s="1">
        <v>2.0694725260048002E-3</v>
      </c>
      <c r="Q48" s="1">
        <v>2.0694509166572801E-3</v>
      </c>
      <c r="R48" s="1">
        <v>2.06943631666406E-3</v>
      </c>
      <c r="S48" s="1">
        <v>2.0694264523955399E-3</v>
      </c>
      <c r="T48" s="1">
        <v>2.0694197877363001E-3</v>
      </c>
      <c r="U48" s="1">
        <v>2.0694152848438501E-3</v>
      </c>
      <c r="V48" s="1">
        <v>2.0694122425190401E-3</v>
      </c>
      <c r="W48" s="1">
        <v>2.06941018700787E-3</v>
      </c>
      <c r="X48" s="1">
        <v>2.0694087982252398E-3</v>
      </c>
      <c r="Y48" s="1">
        <v>2.06940785990988E-3</v>
      </c>
      <c r="Z48" s="1">
        <v>2.0694072259475399E-3</v>
      </c>
      <c r="AA48" s="1">
        <v>2.0694067976178799E-3</v>
      </c>
      <c r="AB48" s="1">
        <v>2.0694065082216598E-3</v>
      </c>
      <c r="AC48" s="1">
        <v>2.06940631269426E-3</v>
      </c>
      <c r="AD48" s="1">
        <v>2.0694061805883201E-3</v>
      </c>
      <c r="AE48" s="1">
        <v>2.0694060913323698E-3</v>
      </c>
      <c r="AF48" s="1">
        <v>2.06940603102757E-3</v>
      </c>
      <c r="AG48" s="1">
        <v>2.0694059902832801E-3</v>
      </c>
      <c r="AH48" s="1">
        <v>2.0694059627548501E-3</v>
      </c>
    </row>
    <row r="49" spans="1:34" x14ac:dyDescent="0.25">
      <c r="A49" s="2">
        <v>47</v>
      </c>
      <c r="B49" s="1">
        <v>2.2731007973850999E-3</v>
      </c>
      <c r="C49" s="1">
        <v>2.2671211910029201E-3</v>
      </c>
      <c r="D49" s="1">
        <v>2.2630900315128901E-3</v>
      </c>
      <c r="E49" s="1">
        <v>2.2603704760243998E-3</v>
      </c>
      <c r="F49" s="1">
        <v>2.2585348860081102E-3</v>
      </c>
      <c r="G49" s="1">
        <v>2.2572955324769101E-3</v>
      </c>
      <c r="H49" s="1">
        <v>2.25645856129152E-3</v>
      </c>
      <c r="I49" s="1">
        <v>2.2558932462843299E-3</v>
      </c>
      <c r="J49" s="1">
        <v>2.2555113774260101E-3</v>
      </c>
      <c r="K49" s="1">
        <v>2.2552534084321401E-3</v>
      </c>
      <c r="L49" s="1">
        <v>2.2550791311676502E-3</v>
      </c>
      <c r="M49" s="1">
        <v>2.2549613902426899E-3</v>
      </c>
      <c r="N49" s="1">
        <v>2.2548818433421702E-3</v>
      </c>
      <c r="O49" s="1">
        <v>2.2548280999299302E-3</v>
      </c>
      <c r="P49" s="1">
        <v>2.2547917895017699E-3</v>
      </c>
      <c r="Q49" s="1">
        <v>2.25476725708618E-3</v>
      </c>
      <c r="R49" s="1">
        <v>2.2547506821771102E-3</v>
      </c>
      <c r="S49" s="1">
        <v>2.25473948358881E-3</v>
      </c>
      <c r="T49" s="1">
        <v>2.2547319174157699E-3</v>
      </c>
      <c r="U49" s="1">
        <v>2.2547268054275301E-3</v>
      </c>
      <c r="V49" s="1">
        <v>2.2547233515747798E-3</v>
      </c>
      <c r="W49" s="1">
        <v>2.2547210180197002E-3</v>
      </c>
      <c r="X49" s="1">
        <v>2.2547194413799301E-3</v>
      </c>
      <c r="Y49" s="1">
        <v>2.25471837614103E-3</v>
      </c>
      <c r="Z49" s="1">
        <v>2.2547176564242299E-3</v>
      </c>
      <c r="AA49" s="1">
        <v>2.2547171701555201E-3</v>
      </c>
      <c r="AB49" s="1">
        <v>2.25471684161341E-3</v>
      </c>
      <c r="AC49" s="1">
        <v>2.25471661963753E-3</v>
      </c>
      <c r="AD49" s="1">
        <v>2.2547164696619499E-3</v>
      </c>
      <c r="AE49" s="1">
        <v>2.25471636833259E-3</v>
      </c>
      <c r="AF49" s="1">
        <v>2.2547162998705099E-3</v>
      </c>
      <c r="AG49" s="1">
        <v>2.25471625361485E-3</v>
      </c>
      <c r="AH49" s="1">
        <v>2.2547162223627202E-3</v>
      </c>
    </row>
    <row r="50" spans="1:34" x14ac:dyDescent="0.25">
      <c r="A50" s="2">
        <v>48</v>
      </c>
      <c r="B50" s="1">
        <v>2.47817025479339E-3</v>
      </c>
      <c r="C50" s="1">
        <v>2.4710682697579802E-3</v>
      </c>
      <c r="D50" s="1">
        <v>2.4662814011832501E-3</v>
      </c>
      <c r="E50" s="1">
        <v>2.4630524491608902E-3</v>
      </c>
      <c r="F50" s="1">
        <v>2.46087323322406E-3</v>
      </c>
      <c r="G50" s="1">
        <v>2.4594019598392701E-3</v>
      </c>
      <c r="H50" s="1">
        <v>2.4584084073083698E-3</v>
      </c>
      <c r="I50" s="1">
        <v>2.45773735127303E-3</v>
      </c>
      <c r="J50" s="1">
        <v>2.4572840631187699E-3</v>
      </c>
      <c r="K50" s="1">
        <v>2.4569778511696898E-3</v>
      </c>
      <c r="L50" s="1">
        <v>2.45677098396767E-3</v>
      </c>
      <c r="M50" s="1">
        <v>2.4566312262379701E-3</v>
      </c>
      <c r="N50" s="1">
        <v>2.4565368049415601E-3</v>
      </c>
      <c r="O50" s="1">
        <v>2.4564730122705199E-3</v>
      </c>
      <c r="P50" s="1">
        <v>2.4564299123821598E-3</v>
      </c>
      <c r="Q50" s="1">
        <v>2.4564007928384998E-3</v>
      </c>
      <c r="R50" s="1">
        <v>2.4563811187304301E-3</v>
      </c>
      <c r="S50" s="1">
        <v>2.4563678262222001E-3</v>
      </c>
      <c r="T50" s="1">
        <v>2.4563588453241302E-3</v>
      </c>
      <c r="U50" s="1">
        <v>2.45635277749652E-3</v>
      </c>
      <c r="V50" s="1">
        <v>2.4563486778432001E-3</v>
      </c>
      <c r="W50" s="1">
        <v>2.4563459079608601E-3</v>
      </c>
      <c r="X50" s="1">
        <v>2.4563440365217202E-3</v>
      </c>
      <c r="Y50" s="1">
        <v>2.4563427721050099E-3</v>
      </c>
      <c r="Z50" s="1">
        <v>2.4563419178159698E-3</v>
      </c>
      <c r="AA50" s="1">
        <v>2.4563413406250298E-3</v>
      </c>
      <c r="AB50" s="1">
        <v>2.4563409506523199E-3</v>
      </c>
      <c r="AC50" s="1">
        <v>2.4563406871715302E-3</v>
      </c>
      <c r="AD50" s="1">
        <v>2.4563405091536099E-3</v>
      </c>
      <c r="AE50" s="1">
        <v>2.4563403888777499E-3</v>
      </c>
      <c r="AF50" s="1">
        <v>2.4563403076146698E-3</v>
      </c>
      <c r="AG50" s="1">
        <v>2.4563402527101601E-3</v>
      </c>
      <c r="AH50" s="1">
        <v>2.4563402156145301E-3</v>
      </c>
    </row>
    <row r="51" spans="1:34" x14ac:dyDescent="0.25">
      <c r="A51" s="2">
        <v>49</v>
      </c>
      <c r="B51" s="1">
        <v>2.7159439911213102E-3</v>
      </c>
      <c r="C51" s="1">
        <v>2.7080368460376601E-3</v>
      </c>
      <c r="D51" s="1">
        <v>2.7027074870409401E-3</v>
      </c>
      <c r="E51" s="1">
        <v>2.6991126937016699E-3</v>
      </c>
      <c r="F51" s="1">
        <v>2.6966866139193999E-3</v>
      </c>
      <c r="G51" s="1">
        <v>2.69504869232895E-3</v>
      </c>
      <c r="H51" s="1">
        <v>2.69394261082923E-3</v>
      </c>
      <c r="I51" s="1">
        <v>2.6931955555131101E-3</v>
      </c>
      <c r="J51" s="1">
        <v>2.69269093282131E-3</v>
      </c>
      <c r="K51" s="1">
        <v>2.69235004343414E-3</v>
      </c>
      <c r="L51" s="1">
        <v>2.6921197496205902E-3</v>
      </c>
      <c r="M51" s="1">
        <v>2.6919641652437599E-3</v>
      </c>
      <c r="N51" s="1">
        <v>2.6918590514333099E-3</v>
      </c>
      <c r="O51" s="1">
        <v>2.6917880347497899E-3</v>
      </c>
      <c r="P51" s="1">
        <v>2.6917400541584501E-3</v>
      </c>
      <c r="Q51" s="1">
        <v>2.69170763707679E-3</v>
      </c>
      <c r="R51" s="1">
        <v>2.6916857350485399E-3</v>
      </c>
      <c r="S51" s="1">
        <v>2.6916709372819098E-3</v>
      </c>
      <c r="T51" s="1">
        <v>2.69166093937768E-3</v>
      </c>
      <c r="U51" s="1">
        <v>2.6916541844233298E-3</v>
      </c>
      <c r="V51" s="1">
        <v>2.6916496205214198E-3</v>
      </c>
      <c r="W51" s="1">
        <v>2.6916465369750601E-3</v>
      </c>
      <c r="X51" s="1">
        <v>2.6916444536124601E-3</v>
      </c>
      <c r="Y51" s="1">
        <v>2.6916430460120801E-3</v>
      </c>
      <c r="Z51" s="1">
        <v>2.6916420949826001E-3</v>
      </c>
      <c r="AA51" s="1">
        <v>2.6916414524300498E-3</v>
      </c>
      <c r="AB51" s="1">
        <v>2.69164101829649E-3</v>
      </c>
      <c r="AC51" s="1">
        <v>2.6916407249789102E-3</v>
      </c>
      <c r="AD51" s="1">
        <v>2.6916405268020901E-3</v>
      </c>
      <c r="AE51" s="1">
        <v>2.69164039290608E-3</v>
      </c>
      <c r="AF51" s="1">
        <v>2.6916403024407E-3</v>
      </c>
      <c r="AG51" s="1">
        <v>2.69164024131876E-3</v>
      </c>
      <c r="AH51" s="1">
        <v>2.6916402000223801E-3</v>
      </c>
    </row>
    <row r="52" spans="1:34" x14ac:dyDescent="0.25">
      <c r="A52" s="2">
        <v>50</v>
      </c>
      <c r="B52" s="1">
        <v>2.9136511606379098E-3</v>
      </c>
      <c r="C52" s="1">
        <v>2.9049827410825898E-3</v>
      </c>
      <c r="D52" s="1">
        <v>2.8991405995901099E-3</v>
      </c>
      <c r="E52" s="1">
        <v>2.8952000626586401E-3</v>
      </c>
      <c r="F52" s="1">
        <v>2.89254070960075E-3</v>
      </c>
      <c r="G52" s="1">
        <v>2.8907453274765599E-3</v>
      </c>
      <c r="H52" s="1">
        <v>2.8895329269960301E-3</v>
      </c>
      <c r="I52" s="1">
        <v>2.8887140692210101E-3</v>
      </c>
      <c r="J52" s="1">
        <v>2.8881609480354E-3</v>
      </c>
      <c r="K52" s="1">
        <v>2.88778729758339E-3</v>
      </c>
      <c r="L52" s="1">
        <v>2.8875348720405099E-3</v>
      </c>
      <c r="M52" s="1">
        <v>2.8873643359377701E-3</v>
      </c>
      <c r="N52" s="1">
        <v>2.88724912076624E-3</v>
      </c>
      <c r="O52" s="1">
        <v>2.8871712794863598E-3</v>
      </c>
      <c r="P52" s="1">
        <v>2.8871186880577598E-3</v>
      </c>
      <c r="Q52" s="1">
        <v>2.8870831557720302E-3</v>
      </c>
      <c r="R52" s="1">
        <v>2.8870591490165001E-3</v>
      </c>
      <c r="S52" s="1">
        <v>2.8870429292258402E-3</v>
      </c>
      <c r="T52" s="1">
        <v>2.8870319705520502E-3</v>
      </c>
      <c r="U52" s="1">
        <v>2.8870245664667101E-3</v>
      </c>
      <c r="V52" s="1">
        <v>2.8870195639876398E-3</v>
      </c>
      <c r="W52" s="1">
        <v>2.88701618412192E-3</v>
      </c>
      <c r="X52" s="1">
        <v>2.8870139005546199E-3</v>
      </c>
      <c r="Y52" s="1">
        <v>2.8870123576881998E-3</v>
      </c>
      <c r="Z52" s="1">
        <v>2.88701131526774E-3</v>
      </c>
      <c r="AA52" s="1">
        <v>2.8870106109679002E-3</v>
      </c>
      <c r="AB52" s="1">
        <v>2.8870101351154598E-3</v>
      </c>
      <c r="AC52" s="1">
        <v>2.8870098136109801E-3</v>
      </c>
      <c r="AD52" s="1">
        <v>2.8870095963899802E-3</v>
      </c>
      <c r="AE52" s="1">
        <v>2.88700944962699E-3</v>
      </c>
      <c r="AF52" s="1">
        <v>2.88700935046817E-3</v>
      </c>
      <c r="AG52" s="1">
        <v>2.8870092834725998E-3</v>
      </c>
      <c r="AH52" s="1">
        <v>2.8870092382077702E-3</v>
      </c>
    </row>
    <row r="53" spans="1:34" x14ac:dyDescent="0.25">
      <c r="A53" s="2">
        <v>51</v>
      </c>
      <c r="B53" s="1">
        <v>3.1091113271599002E-3</v>
      </c>
      <c r="C53" s="1">
        <v>3.1003872477030699E-3</v>
      </c>
      <c r="D53" s="1">
        <v>3.09450675792023E-3</v>
      </c>
      <c r="E53" s="1">
        <v>3.0905399740141499E-3</v>
      </c>
      <c r="F53" s="1">
        <v>3.0878627339216498E-3</v>
      </c>
      <c r="G53" s="1">
        <v>3.0860551966620802E-3</v>
      </c>
      <c r="H53" s="1">
        <v>3.0848345518058899E-3</v>
      </c>
      <c r="I53" s="1">
        <v>3.0840101092636501E-3</v>
      </c>
      <c r="J53" s="1">
        <v>3.0834532081554901E-3</v>
      </c>
      <c r="K53" s="1">
        <v>3.0830770008122301E-3</v>
      </c>
      <c r="L53" s="1">
        <v>3.08282284635185E-3</v>
      </c>
      <c r="M53" s="1">
        <v>3.0826511414941901E-3</v>
      </c>
      <c r="N53" s="1">
        <v>3.0825351363782702E-3</v>
      </c>
      <c r="O53" s="1">
        <v>3.08245676124966E-3</v>
      </c>
      <c r="P53" s="1">
        <v>3.082403809072E-3</v>
      </c>
      <c r="Q53" s="1">
        <v>3.0823680330227198E-3</v>
      </c>
      <c r="R53" s="1">
        <v>3.0823438615584899E-3</v>
      </c>
      <c r="S53" s="1">
        <v>3.0823275304784899E-3</v>
      </c>
      <c r="T53" s="1">
        <v>3.08231649661067E-3</v>
      </c>
      <c r="U53" s="1">
        <v>3.0823090417201001E-3</v>
      </c>
      <c r="V53" s="1">
        <v>3.0823040049144899E-3</v>
      </c>
      <c r="W53" s="1">
        <v>3.08230060185617E-3</v>
      </c>
      <c r="X53" s="1">
        <v>3.0822983026189202E-3</v>
      </c>
      <c r="Y53" s="1">
        <v>3.0822967491652298E-3</v>
      </c>
      <c r="Z53" s="1">
        <v>3.0822956995915601E-3</v>
      </c>
      <c r="AA53" s="1">
        <v>3.08229499045873E-3</v>
      </c>
      <c r="AB53" s="1">
        <v>3.0822945113409199E-3</v>
      </c>
      <c r="AC53" s="1">
        <v>3.0822941876302301E-3</v>
      </c>
      <c r="AD53" s="1">
        <v>3.0822939689186301E-3</v>
      </c>
      <c r="AE53" s="1">
        <v>3.0822938211485301E-3</v>
      </c>
      <c r="AF53" s="1">
        <v>3.08229372130927E-3</v>
      </c>
      <c r="AG53" s="1">
        <v>3.08229365385396E-3</v>
      </c>
      <c r="AH53" s="1">
        <v>3.0822936082785198E-3</v>
      </c>
    </row>
    <row r="54" spans="1:34" x14ac:dyDescent="0.25">
      <c r="A54" s="2">
        <v>52</v>
      </c>
      <c r="B54" s="1">
        <v>3.3565439392867899E-3</v>
      </c>
      <c r="C54" s="1">
        <v>3.3479774976656702E-3</v>
      </c>
      <c r="D54" s="1">
        <v>3.34220203298979E-3</v>
      </c>
      <c r="E54" s="1">
        <v>3.3383055343735998E-3</v>
      </c>
      <c r="F54" s="1">
        <v>3.3356754749260301E-3</v>
      </c>
      <c r="G54" s="1">
        <v>3.3338996749079498E-3</v>
      </c>
      <c r="H54" s="1">
        <v>3.3327004092037699E-3</v>
      </c>
      <c r="I54" s="1">
        <v>3.33189038216409E-3</v>
      </c>
      <c r="J54" s="1">
        <v>3.33134320746127E-3</v>
      </c>
      <c r="K54" s="1">
        <v>3.3309735656014399E-3</v>
      </c>
      <c r="L54" s="1">
        <v>3.3307238442744401E-3</v>
      </c>
      <c r="M54" s="1">
        <v>3.3305551333535498E-3</v>
      </c>
      <c r="N54" s="1">
        <v>3.3304411504826198E-3</v>
      </c>
      <c r="O54" s="1">
        <v>3.3303641413990098E-3</v>
      </c>
      <c r="P54" s="1">
        <v>3.33031211205483E-3</v>
      </c>
      <c r="Q54" s="1">
        <v>3.3302769594531901E-3</v>
      </c>
      <c r="R54" s="1">
        <v>3.3302532091895902E-3</v>
      </c>
      <c r="S54" s="1">
        <v>3.3302371626777998E-3</v>
      </c>
      <c r="T54" s="1">
        <v>3.3302263210701799E-3</v>
      </c>
      <c r="U54" s="1">
        <v>3.3302189960757599E-3</v>
      </c>
      <c r="V54" s="1">
        <v>3.3302140470319801E-3</v>
      </c>
      <c r="W54" s="1">
        <v>3.33021070326849E-3</v>
      </c>
      <c r="X54" s="1">
        <v>3.3302084440929199E-3</v>
      </c>
      <c r="Y54" s="1">
        <v>3.3302069177063701E-3</v>
      </c>
      <c r="Z54" s="1">
        <v>3.3302058864202698E-3</v>
      </c>
      <c r="AA54" s="1">
        <v>3.3302051896432101E-3</v>
      </c>
      <c r="AB54" s="1">
        <v>3.3302047188734502E-3</v>
      </c>
      <c r="AC54" s="1">
        <v>3.3302044008030099E-3</v>
      </c>
      <c r="AD54" s="1">
        <v>3.3302041859021901E-3</v>
      </c>
      <c r="AE54" s="1">
        <v>3.3302040407067902E-3</v>
      </c>
      <c r="AF54" s="1">
        <v>3.3302039426071099E-3</v>
      </c>
      <c r="AG54" s="1">
        <v>3.3302038763271201E-3</v>
      </c>
      <c r="AH54" s="1">
        <v>3.3302038315457701E-3</v>
      </c>
    </row>
    <row r="55" spans="1:34" x14ac:dyDescent="0.25">
      <c r="A55" s="2">
        <v>53</v>
      </c>
      <c r="B55" s="1">
        <v>3.6800243975393001E-3</v>
      </c>
      <c r="C55" s="1">
        <v>3.6715834990541101E-3</v>
      </c>
      <c r="D55" s="1">
        <v>3.6658914398409299E-3</v>
      </c>
      <c r="E55" s="1">
        <v>3.6620506487376999E-3</v>
      </c>
      <c r="F55" s="1">
        <v>3.65945793390939E-3</v>
      </c>
      <c r="G55" s="1">
        <v>3.6577072315700301E-3</v>
      </c>
      <c r="H55" s="1">
        <v>3.65652486181909E-3</v>
      </c>
      <c r="I55" s="1">
        <v>3.6557262225101802E-3</v>
      </c>
      <c r="J55" s="1">
        <v>3.6551867291026801E-3</v>
      </c>
      <c r="K55" s="1">
        <v>3.65482227123038E-3</v>
      </c>
      <c r="L55" s="1">
        <v>3.6545760497628901E-3</v>
      </c>
      <c r="M55" s="1">
        <v>3.65440970227666E-3</v>
      </c>
      <c r="N55" s="1">
        <v>3.65429731568355E-3</v>
      </c>
      <c r="O55" s="1">
        <v>3.65422138485615E-3</v>
      </c>
      <c r="P55" s="1">
        <v>3.6541700839092298E-3</v>
      </c>
      <c r="Q55" s="1">
        <v>3.6541354233888702E-3</v>
      </c>
      <c r="R55" s="1">
        <v>3.6541120055707099E-3</v>
      </c>
      <c r="S55" s="1">
        <v>3.65409618366115E-3</v>
      </c>
      <c r="T55" s="1">
        <v>3.6540854937986002E-3</v>
      </c>
      <c r="U55" s="1">
        <v>3.6540782713268098E-3</v>
      </c>
      <c r="V55" s="1">
        <v>3.6540733915502899E-3</v>
      </c>
      <c r="W55" s="1">
        <v>3.6540700945860002E-3</v>
      </c>
      <c r="X55" s="1">
        <v>3.65406786702959E-3</v>
      </c>
      <c r="Y55" s="1">
        <v>3.6540663620060702E-3</v>
      </c>
      <c r="Z55" s="1">
        <v>3.6540653451536398E-3</v>
      </c>
      <c r="AA55" s="1">
        <v>3.6540646581284999E-3</v>
      </c>
      <c r="AB55" s="1">
        <v>3.6540641939475098E-3</v>
      </c>
      <c r="AC55" s="1">
        <v>3.6540638803286901E-3</v>
      </c>
      <c r="AD55" s="1">
        <v>3.6540636684355698E-3</v>
      </c>
      <c r="AE55" s="1">
        <v>3.65406352527229E-3</v>
      </c>
      <c r="AF55" s="1">
        <v>3.6540634285455701E-3</v>
      </c>
      <c r="AG55" s="1">
        <v>3.6540633631932198E-3</v>
      </c>
      <c r="AH55" s="1">
        <v>3.6540633190386201E-3</v>
      </c>
    </row>
    <row r="56" spans="1:34" x14ac:dyDescent="0.25">
      <c r="A56" s="2">
        <v>54</v>
      </c>
      <c r="B56" s="1">
        <v>4.0021915496804101E-3</v>
      </c>
      <c r="C56" s="1">
        <v>3.9928801092394498E-3</v>
      </c>
      <c r="D56" s="1">
        <v>3.9866011774069799E-3</v>
      </c>
      <c r="E56" s="1">
        <v>3.9823644643573203E-3</v>
      </c>
      <c r="F56" s="1">
        <v>3.9795045191481004E-3</v>
      </c>
      <c r="G56" s="1">
        <v>3.9775733886452296E-3</v>
      </c>
      <c r="H56" s="1">
        <v>3.9762691707462099E-3</v>
      </c>
      <c r="I56" s="1">
        <v>3.9753882316958204E-3</v>
      </c>
      <c r="J56" s="1">
        <v>3.97479314506169E-3</v>
      </c>
      <c r="K56" s="1">
        <v>3.9743911315696396E-3</v>
      </c>
      <c r="L56" s="1">
        <v>3.9741195384930001E-3</v>
      </c>
      <c r="M56" s="1">
        <v>3.9739360500672298E-3</v>
      </c>
      <c r="N56" s="1">
        <v>3.9738120828923997E-3</v>
      </c>
      <c r="O56" s="1">
        <v>3.9737283280026001E-3</v>
      </c>
      <c r="P56" s="1">
        <v>3.9736717409187602E-3</v>
      </c>
      <c r="Q56" s="1">
        <v>3.9736335089257304E-3</v>
      </c>
      <c r="R56" s="1">
        <v>3.9736076781029198E-3</v>
      </c>
      <c r="S56" s="1">
        <v>3.9735902258830596E-3</v>
      </c>
      <c r="T56" s="1">
        <v>3.9735784345236603E-3</v>
      </c>
      <c r="U56" s="1">
        <v>3.9735704678395996E-3</v>
      </c>
      <c r="V56" s="1">
        <v>3.9735650852451001E-3</v>
      </c>
      <c r="W56" s="1">
        <v>3.97356144855774E-3</v>
      </c>
      <c r="X56" s="1">
        <v>3.9735589914713298E-3</v>
      </c>
      <c r="Y56" s="1">
        <v>3.9735573313684604E-3</v>
      </c>
      <c r="Z56" s="1">
        <v>3.9735562097383799E-3</v>
      </c>
      <c r="AA56" s="1">
        <v>3.9735554519213902E-3</v>
      </c>
      <c r="AB56" s="1">
        <v>3.9735549399106604E-3</v>
      </c>
      <c r="AC56" s="1">
        <v>3.97355459397621E-3</v>
      </c>
      <c r="AD56" s="1">
        <v>3.9735543602493701E-3</v>
      </c>
      <c r="AE56" s="1">
        <v>3.97355420233438E-3</v>
      </c>
      <c r="AF56" s="1">
        <v>3.9735540956408397E-3</v>
      </c>
      <c r="AG56" s="1">
        <v>3.9735540235545097E-3</v>
      </c>
      <c r="AH56" s="1">
        <v>3.9735539748501601E-3</v>
      </c>
    </row>
    <row r="57" spans="1:34" x14ac:dyDescent="0.25">
      <c r="A57" s="2">
        <v>55</v>
      </c>
      <c r="B57" s="1">
        <v>4.2846515842125902E-3</v>
      </c>
      <c r="C57" s="1">
        <v>4.2739542604704897E-3</v>
      </c>
      <c r="D57" s="1">
        <v>4.2667418198858E-3</v>
      </c>
      <c r="E57" s="1">
        <v>4.2618756890189799E-3</v>
      </c>
      <c r="F57" s="1">
        <v>4.2585910757586502E-3</v>
      </c>
      <c r="G57" s="1">
        <v>4.2563732925230604E-3</v>
      </c>
      <c r="H57" s="1">
        <v>4.2548755238125801E-3</v>
      </c>
      <c r="I57" s="1">
        <v>4.2538638703776398E-3</v>
      </c>
      <c r="J57" s="1">
        <v>4.2531804935989998E-3</v>
      </c>
      <c r="K57" s="1">
        <v>4.25271883951791E-3</v>
      </c>
      <c r="L57" s="1">
        <v>4.2524069562598797E-3</v>
      </c>
      <c r="M57" s="1">
        <v>4.2521962486457903E-3</v>
      </c>
      <c r="N57" s="1">
        <v>4.2520538922335904E-3</v>
      </c>
      <c r="O57" s="1">
        <v>4.2519577133627298E-3</v>
      </c>
      <c r="P57" s="1">
        <v>4.2518927323826703E-3</v>
      </c>
      <c r="Q57" s="1">
        <v>4.25184882925059E-3</v>
      </c>
      <c r="R57" s="1">
        <v>4.2518191668325699E-3</v>
      </c>
      <c r="S57" s="1">
        <v>4.2517991258590702E-3</v>
      </c>
      <c r="T57" s="1">
        <v>4.2517855854464701E-3</v>
      </c>
      <c r="U57" s="1">
        <v>4.2517764370382004E-3</v>
      </c>
      <c r="V57" s="1">
        <v>4.2517702560266801E-3</v>
      </c>
      <c r="W57" s="1">
        <v>4.2517660798984998E-3</v>
      </c>
      <c r="X57" s="1">
        <v>4.2517632583451903E-3</v>
      </c>
      <c r="Y57" s="1">
        <v>4.2517613519944203E-3</v>
      </c>
      <c r="Z57" s="1">
        <v>4.25176006398972E-3</v>
      </c>
      <c r="AA57" s="1">
        <v>4.2517591937635598E-3</v>
      </c>
      <c r="AB57" s="1">
        <v>4.2517586058048104E-3</v>
      </c>
      <c r="AC57" s="1">
        <v>4.2517582085569196E-3</v>
      </c>
      <c r="AD57" s="1">
        <v>4.2517579401607202E-3</v>
      </c>
      <c r="AE57" s="1">
        <v>4.2517577588217599E-3</v>
      </c>
      <c r="AF57" s="1">
        <v>4.2517576363020598E-3</v>
      </c>
      <c r="AG57" s="1">
        <v>4.2517575535229602E-3</v>
      </c>
      <c r="AH57" s="1">
        <v>4.2517574975941604E-3</v>
      </c>
    </row>
    <row r="58" spans="1:34" x14ac:dyDescent="0.25">
      <c r="A58" s="2">
        <v>56</v>
      </c>
      <c r="B58" s="1">
        <v>4.60897085943763E-3</v>
      </c>
      <c r="C58" s="1">
        <v>4.5977913490066703E-3</v>
      </c>
      <c r="D58" s="1">
        <v>4.5902533529287798E-3</v>
      </c>
      <c r="E58" s="1">
        <v>4.5851673686040997E-3</v>
      </c>
      <c r="F58" s="1">
        <v>4.5817342615337197E-3</v>
      </c>
      <c r="G58" s="1">
        <v>4.5794161719007699E-3</v>
      </c>
      <c r="H58" s="1">
        <v>4.5778506422339002E-3</v>
      </c>
      <c r="I58" s="1">
        <v>4.5767932113983103E-3</v>
      </c>
      <c r="J58" s="1">
        <v>4.5760789076953303E-3</v>
      </c>
      <c r="K58" s="1">
        <v>4.5755963591230502E-3</v>
      </c>
      <c r="L58" s="1">
        <v>4.5752703591624396E-3</v>
      </c>
      <c r="M58" s="1">
        <v>4.5750501139494798E-3</v>
      </c>
      <c r="N58" s="1">
        <v>4.5749013136525598E-3</v>
      </c>
      <c r="O58" s="1">
        <v>4.5748007810822401E-3</v>
      </c>
      <c r="P58" s="1">
        <v>4.5747328585912699E-3</v>
      </c>
      <c r="Q58" s="1">
        <v>4.5746869680679102E-3</v>
      </c>
      <c r="R58" s="1">
        <v>4.5746559628944798E-3</v>
      </c>
      <c r="S58" s="1">
        <v>4.5746350147046703E-3</v>
      </c>
      <c r="T58" s="1">
        <v>4.5746208613420504E-3</v>
      </c>
      <c r="U58" s="1">
        <v>4.5746112988011298E-3</v>
      </c>
      <c r="V58" s="1">
        <v>4.5746048379855598E-3</v>
      </c>
      <c r="W58" s="1">
        <v>4.5746004728108901E-3</v>
      </c>
      <c r="X58" s="1">
        <v>4.5745975235304097E-3</v>
      </c>
      <c r="Y58" s="1">
        <v>4.5745955308821697E-3</v>
      </c>
      <c r="Z58" s="1">
        <v>4.5745941845715399E-3</v>
      </c>
      <c r="AA58" s="1">
        <v>4.5745932749516197E-3</v>
      </c>
      <c r="AB58" s="1">
        <v>4.5745926603768996E-3</v>
      </c>
      <c r="AC58" s="1">
        <v>4.5745922451462199E-3</v>
      </c>
      <c r="AD58" s="1">
        <v>4.5745919646001396E-3</v>
      </c>
      <c r="AE58" s="1">
        <v>4.5745917750522501E-3</v>
      </c>
      <c r="AF58" s="1">
        <v>4.5745916469862799E-3</v>
      </c>
      <c r="AG58" s="1">
        <v>4.5745915604598897E-3</v>
      </c>
      <c r="AH58" s="1">
        <v>4.5745915019992801E-3</v>
      </c>
    </row>
    <row r="59" spans="1:34" x14ac:dyDescent="0.25">
      <c r="A59" s="2">
        <v>57</v>
      </c>
      <c r="B59" s="1">
        <v>4.9845788416527396E-3</v>
      </c>
      <c r="C59" s="1">
        <v>4.9745287644199603E-3</v>
      </c>
      <c r="D59" s="1">
        <v>4.9677499832090398E-3</v>
      </c>
      <c r="E59" s="1">
        <v>4.9631751900850703E-3</v>
      </c>
      <c r="F59" s="1">
        <v>4.9600866599143097E-3</v>
      </c>
      <c r="G59" s="1">
        <v>4.9580010133882099E-3</v>
      </c>
      <c r="H59" s="1">
        <v>4.9565923641962601E-3</v>
      </c>
      <c r="I59" s="1">
        <v>4.9556408516720097E-3</v>
      </c>
      <c r="J59" s="1">
        <v>4.9549980757182697E-3</v>
      </c>
      <c r="K59" s="1">
        <v>4.9545638382074699E-3</v>
      </c>
      <c r="L59" s="1">
        <v>4.9542704718404298E-3</v>
      </c>
      <c r="M59" s="1">
        <v>4.9540722718511001E-3</v>
      </c>
      <c r="N59" s="1">
        <v>4.9539383646594499E-3</v>
      </c>
      <c r="O59" s="1">
        <v>4.9538478937643697E-3</v>
      </c>
      <c r="P59" s="1">
        <v>4.9537867690201999E-3</v>
      </c>
      <c r="Q59" s="1">
        <v>4.9537454711769298E-3</v>
      </c>
      <c r="R59" s="1">
        <v>4.95371756893231E-3</v>
      </c>
      <c r="S59" s="1">
        <v>4.9536987171726896E-3</v>
      </c>
      <c r="T59" s="1">
        <v>4.9536859802266804E-3</v>
      </c>
      <c r="U59" s="1">
        <v>4.9536773746660101E-3</v>
      </c>
      <c r="V59" s="1">
        <v>4.9536715604209004E-3</v>
      </c>
      <c r="W59" s="1">
        <v>4.9536676320932303E-3</v>
      </c>
      <c r="X59" s="1">
        <v>4.9536649779630898E-3</v>
      </c>
      <c r="Y59" s="1">
        <v>4.9536631847297103E-3</v>
      </c>
      <c r="Z59" s="1">
        <v>4.9536619731514299E-3</v>
      </c>
      <c r="AA59" s="1">
        <v>4.95366115456189E-3</v>
      </c>
      <c r="AB59" s="1">
        <v>4.9536606014908497E-3</v>
      </c>
      <c r="AC59" s="1">
        <v>4.9536602278144404E-3</v>
      </c>
      <c r="AD59" s="1">
        <v>4.9536599753440503E-3</v>
      </c>
      <c r="AE59" s="1">
        <v>4.9536598047651903E-3</v>
      </c>
      <c r="AF59" s="1">
        <v>4.95365968951543E-3</v>
      </c>
      <c r="AG59" s="1">
        <v>4.9536596116481896E-3</v>
      </c>
      <c r="AH59" s="1">
        <v>4.9536595590380398E-3</v>
      </c>
    </row>
    <row r="60" spans="1:34" x14ac:dyDescent="0.25">
      <c r="A60" s="2">
        <v>58</v>
      </c>
      <c r="B60" s="1">
        <v>5.4066118466275896E-3</v>
      </c>
      <c r="C60" s="1">
        <v>5.3973141524957897E-3</v>
      </c>
      <c r="D60" s="1">
        <v>5.3910412945868498E-3</v>
      </c>
      <c r="E60" s="1">
        <v>5.3868072225286903E-3</v>
      </c>
      <c r="F60" s="1">
        <v>5.38394839522099E-3</v>
      </c>
      <c r="G60" s="1">
        <v>5.3820177161844097E-3</v>
      </c>
      <c r="H60" s="1">
        <v>5.3807136647405496E-3</v>
      </c>
      <c r="I60" s="1">
        <v>5.3798327749345403E-3</v>
      </c>
      <c r="J60" s="1">
        <v>5.3792376927246296E-3</v>
      </c>
      <c r="K60" s="1">
        <v>5.3788356690569403E-3</v>
      </c>
      <c r="L60" s="1">
        <v>5.3785640630967498E-3</v>
      </c>
      <c r="M60" s="1">
        <v>5.3783805632239001E-3</v>
      </c>
      <c r="N60" s="1">
        <v>5.3782565870631798E-3</v>
      </c>
      <c r="O60" s="1">
        <v>5.3781728255307701E-3</v>
      </c>
      <c r="P60" s="1">
        <v>5.3781162336980796E-3</v>
      </c>
      <c r="Q60" s="1">
        <v>5.3780779983774903E-3</v>
      </c>
      <c r="R60" s="1">
        <v>5.3780521652520997E-3</v>
      </c>
      <c r="S60" s="1">
        <v>5.3780347114517103E-3</v>
      </c>
      <c r="T60" s="1">
        <v>5.37802291901313E-3</v>
      </c>
      <c r="U60" s="1">
        <v>5.3780149515947496E-3</v>
      </c>
      <c r="V60" s="1">
        <v>5.3780095685017704E-3</v>
      </c>
      <c r="W60" s="1">
        <v>5.3780059314765304E-3</v>
      </c>
      <c r="X60" s="1">
        <v>5.3780034741613501E-3</v>
      </c>
      <c r="Y60" s="1">
        <v>5.37800181390368E-3</v>
      </c>
      <c r="Z60" s="1">
        <v>5.3780006921689202E-3</v>
      </c>
      <c r="AA60" s="1">
        <v>5.3779999342811503E-3</v>
      </c>
      <c r="AB60" s="1">
        <v>5.3779994222225699E-3</v>
      </c>
      <c r="AC60" s="1">
        <v>5.3779990762557904E-3</v>
      </c>
      <c r="AD60" s="1">
        <v>5.3779988425070998E-3</v>
      </c>
      <c r="AE60" s="1">
        <v>5.3779986845773498E-3</v>
      </c>
      <c r="AF60" s="1">
        <v>5.3779985778738297E-3</v>
      </c>
      <c r="AG60" s="1">
        <v>5.3779985057807603E-3</v>
      </c>
      <c r="AH60" s="1">
        <v>5.3779984570718597E-3</v>
      </c>
    </row>
    <row r="61" spans="1:34" x14ac:dyDescent="0.25">
      <c r="A61" s="2">
        <v>59</v>
      </c>
      <c r="B61" s="1">
        <v>5.7868933024758096E-3</v>
      </c>
      <c r="C61" s="1">
        <v>5.7762689574314798E-3</v>
      </c>
      <c r="D61" s="1">
        <v>5.7691017458031298E-3</v>
      </c>
      <c r="E61" s="1">
        <v>5.7642643173355197E-3</v>
      </c>
      <c r="F61" s="1">
        <v>5.7609982510105602E-3</v>
      </c>
      <c r="G61" s="1">
        <v>5.7587926133716499E-3</v>
      </c>
      <c r="H61" s="1">
        <v>5.7573028749183198E-3</v>
      </c>
      <c r="I61" s="1">
        <v>5.7562965668472004E-3</v>
      </c>
      <c r="J61" s="1">
        <v>5.7556167650144501E-3</v>
      </c>
      <c r="K61" s="1">
        <v>5.7551575096081199E-3</v>
      </c>
      <c r="L61" s="1">
        <v>5.7548472393674204E-3</v>
      </c>
      <c r="M61" s="1">
        <v>5.7546376180924201E-3</v>
      </c>
      <c r="N61" s="1">
        <v>5.7544959940656502E-3</v>
      </c>
      <c r="O61" s="1">
        <v>5.7544003092983003E-3</v>
      </c>
      <c r="P61" s="1">
        <v>5.75433566182308E-3</v>
      </c>
      <c r="Q61" s="1">
        <v>5.7542919838689099E-3</v>
      </c>
      <c r="R61" s="1">
        <v>5.7542624735209503E-3</v>
      </c>
      <c r="S61" s="1">
        <v>5.7542425352604797E-3</v>
      </c>
      <c r="T61" s="1">
        <v>5.75422906423044E-3</v>
      </c>
      <c r="U61" s="1">
        <v>5.7542199626932E-3</v>
      </c>
      <c r="V61" s="1">
        <v>5.7542138133465899E-3</v>
      </c>
      <c r="W61" s="1">
        <v>5.7542096586110899E-3</v>
      </c>
      <c r="X61" s="1">
        <v>5.75420685151089E-3</v>
      </c>
      <c r="Y61" s="1">
        <v>5.7542049549249201E-3</v>
      </c>
      <c r="Z61" s="1">
        <v>5.7542036735175701E-3</v>
      </c>
      <c r="AA61" s="1">
        <v>5.7542028077487801E-3</v>
      </c>
      <c r="AB61" s="1">
        <v>5.7542022228015801E-3</v>
      </c>
      <c r="AC61" s="1">
        <v>5.7542018275883898E-3</v>
      </c>
      <c r="AD61" s="1">
        <v>5.7542015605669197E-3</v>
      </c>
      <c r="AE61" s="1">
        <v>5.7542013801567598E-3</v>
      </c>
      <c r="AF61" s="1">
        <v>5.7542012582646098E-3</v>
      </c>
      <c r="AG61" s="1">
        <v>5.7542011759094897E-3</v>
      </c>
      <c r="AH61" s="1">
        <v>5.7542011202671604E-3</v>
      </c>
    </row>
    <row r="62" spans="1:34" x14ac:dyDescent="0.25">
      <c r="A62" s="2">
        <v>60</v>
      </c>
      <c r="B62" s="1">
        <v>6.1064876620488696E-3</v>
      </c>
      <c r="C62" s="1">
        <v>6.0936764239515797E-3</v>
      </c>
      <c r="D62" s="1">
        <v>6.0850358216046896E-3</v>
      </c>
      <c r="E62" s="1">
        <v>6.0792048078811903E-3</v>
      </c>
      <c r="F62" s="1">
        <v>6.0752683004498403E-3</v>
      </c>
      <c r="G62" s="1">
        <v>6.0726100806032402E-3</v>
      </c>
      <c r="H62" s="1">
        <v>6.07081473966508E-3</v>
      </c>
      <c r="I62" s="1">
        <v>6.0696020366233202E-3</v>
      </c>
      <c r="J62" s="1">
        <v>6.0687828237056497E-3</v>
      </c>
      <c r="K62" s="1">
        <v>6.0682293937997997E-3</v>
      </c>
      <c r="L62" s="1">
        <v>6.0678555033800404E-3</v>
      </c>
      <c r="M62" s="1">
        <v>6.0676029013818703E-3</v>
      </c>
      <c r="N62" s="1">
        <v>6.0674322395213197E-3</v>
      </c>
      <c r="O62" s="1">
        <v>6.0673169363987802E-3</v>
      </c>
      <c r="P62" s="1">
        <v>6.0672390343336196E-3</v>
      </c>
      <c r="Q62" s="1">
        <v>6.0671864012143296E-3</v>
      </c>
      <c r="R62" s="1">
        <v>6.0671508404769297E-3</v>
      </c>
      <c r="S62" s="1">
        <v>6.0671268143687703E-3</v>
      </c>
      <c r="T62" s="1">
        <v>6.06711058144359E-3</v>
      </c>
      <c r="U62" s="1">
        <v>6.0670996138685899E-3</v>
      </c>
      <c r="V62" s="1">
        <v>6.0670922037569302E-3</v>
      </c>
      <c r="W62" s="1">
        <v>6.0670871972006097E-3</v>
      </c>
      <c r="X62" s="1">
        <v>6.0670838145775704E-3</v>
      </c>
      <c r="Y62" s="1">
        <v>6.0670815291461403E-3</v>
      </c>
      <c r="Z62" s="1">
        <v>6.0670799850197198E-3</v>
      </c>
      <c r="AA62" s="1">
        <v>6.0670789417477103E-3</v>
      </c>
      <c r="AB62" s="1">
        <v>6.0670782368724098E-3</v>
      </c>
      <c r="AC62" s="1">
        <v>6.0670777606311203E-3</v>
      </c>
      <c r="AD62" s="1">
        <v>6.0670774388638798E-3</v>
      </c>
      <c r="AE62" s="1">
        <v>6.0670772214653597E-3</v>
      </c>
      <c r="AF62" s="1">
        <v>6.0670770745824198E-3</v>
      </c>
      <c r="AG62" s="1">
        <v>6.06707697534255E-3</v>
      </c>
      <c r="AH62" s="1">
        <v>6.0670769082922203E-3</v>
      </c>
    </row>
    <row r="63" spans="1:34" x14ac:dyDescent="0.25">
      <c r="A63" s="2">
        <v>61</v>
      </c>
      <c r="B63" s="1">
        <v>6.5196368512777901E-3</v>
      </c>
      <c r="C63" s="1">
        <v>6.5074917535452503E-3</v>
      </c>
      <c r="D63" s="1">
        <v>6.4992988179598098E-3</v>
      </c>
      <c r="E63" s="1">
        <v>6.4937691707334898E-3</v>
      </c>
      <c r="F63" s="1">
        <v>6.4900357793881902E-3</v>
      </c>
      <c r="G63" s="1">
        <v>6.4875145652159199E-3</v>
      </c>
      <c r="H63" s="1">
        <v>6.4858116868965997E-3</v>
      </c>
      <c r="I63" s="1">
        <v>6.4846614078692202E-3</v>
      </c>
      <c r="J63" s="1">
        <v>6.48388434945132E-3</v>
      </c>
      <c r="K63" s="1">
        <v>6.4833593909139602E-3</v>
      </c>
      <c r="L63" s="1">
        <v>6.4830047323640701E-3</v>
      </c>
      <c r="M63" s="1">
        <v>6.4827651221154199E-3</v>
      </c>
      <c r="N63" s="1">
        <v>6.4826032370515199E-3</v>
      </c>
      <c r="O63" s="1">
        <v>6.4824938634482198E-3</v>
      </c>
      <c r="P63" s="1">
        <v>6.4824199674028997E-3</v>
      </c>
      <c r="Q63" s="1">
        <v>6.4823700408182102E-3</v>
      </c>
      <c r="R63" s="1">
        <v>6.4823363086807702E-3</v>
      </c>
      <c r="S63" s="1">
        <v>6.4823135180277196E-3</v>
      </c>
      <c r="T63" s="1">
        <v>6.4822981198158604E-3</v>
      </c>
      <c r="U63" s="1">
        <v>6.4822877162019898E-3</v>
      </c>
      <c r="V63" s="1">
        <v>6.4822806871227597E-3</v>
      </c>
      <c r="W63" s="1">
        <v>6.48227593800606E-3</v>
      </c>
      <c r="X63" s="1">
        <v>6.4822727293189298E-3</v>
      </c>
      <c r="Y63" s="1">
        <v>6.4822705614052401E-3</v>
      </c>
      <c r="Z63" s="1">
        <v>6.48226909667833E-3</v>
      </c>
      <c r="AA63" s="1">
        <v>6.4822681070516898E-3</v>
      </c>
      <c r="AB63" s="1">
        <v>6.4822674384212896E-3</v>
      </c>
      <c r="AC63" s="1">
        <v>6.4822669866684704E-3</v>
      </c>
      <c r="AD63" s="1">
        <v>6.4822666814466001E-3</v>
      </c>
      <c r="AE63" s="1">
        <v>6.4822664752267698E-3</v>
      </c>
      <c r="AF63" s="1">
        <v>6.4822663358965896E-3</v>
      </c>
      <c r="AG63" s="1">
        <v>6.4822662417596596E-3</v>
      </c>
      <c r="AH63" s="1">
        <v>6.4822661781570798E-3</v>
      </c>
    </row>
    <row r="64" spans="1:34" x14ac:dyDescent="0.25">
      <c r="A64" s="2">
        <v>62</v>
      </c>
      <c r="B64" s="1">
        <v>7.0171620919746696E-3</v>
      </c>
      <c r="C64" s="1">
        <v>7.0051255682403802E-3</v>
      </c>
      <c r="D64" s="1">
        <v>6.9970048699891504E-3</v>
      </c>
      <c r="E64" s="1">
        <v>6.9915235193181201E-3</v>
      </c>
      <c r="F64" s="1">
        <v>6.9878225266692198E-3</v>
      </c>
      <c r="G64" s="1">
        <v>6.9853230963772099E-3</v>
      </c>
      <c r="H64" s="1">
        <v>6.9836348877722202E-3</v>
      </c>
      <c r="I64" s="1">
        <v>6.9824944981279899E-3</v>
      </c>
      <c r="J64" s="1">
        <v>6.9817241113022304E-3</v>
      </c>
      <c r="K64" s="1">
        <v>6.9812036557614096E-3</v>
      </c>
      <c r="L64" s="1">
        <v>6.9808520375162497E-3</v>
      </c>
      <c r="M64" s="1">
        <v>6.9806144804597601E-3</v>
      </c>
      <c r="N64" s="1">
        <v>6.98045398217616E-3</v>
      </c>
      <c r="O64" s="1">
        <v>6.98034554533657E-3</v>
      </c>
      <c r="P64" s="1">
        <v>6.9802722821144803E-3</v>
      </c>
      <c r="Q64" s="1">
        <v>6.9802227830483799E-3</v>
      </c>
      <c r="R64" s="1">
        <v>6.9801893397402797E-3</v>
      </c>
      <c r="S64" s="1">
        <v>6.9801667442229796E-3</v>
      </c>
      <c r="T64" s="1">
        <v>6.9801514778485198E-3</v>
      </c>
      <c r="U64" s="1">
        <v>6.9801411633073499E-3</v>
      </c>
      <c r="V64" s="1">
        <v>6.9801341944083E-3</v>
      </c>
      <c r="W64" s="1">
        <v>6.9801294859513198E-3</v>
      </c>
      <c r="X64" s="1">
        <v>6.9801263047353096E-3</v>
      </c>
      <c r="Y64" s="1">
        <v>6.9801241553821003E-3</v>
      </c>
      <c r="Z64" s="1">
        <v>6.9801227031953302E-3</v>
      </c>
      <c r="AA64" s="1">
        <v>6.9801217220412997E-3</v>
      </c>
      <c r="AB64" s="1">
        <v>6.9801210591353196E-3</v>
      </c>
      <c r="AC64" s="1">
        <v>6.9801206112501298E-3</v>
      </c>
      <c r="AD64" s="1">
        <v>6.9801203086413896E-3</v>
      </c>
      <c r="AE64" s="1">
        <v>6.9801201041870898E-3</v>
      </c>
      <c r="AF64" s="1">
        <v>6.9801199660497601E-3</v>
      </c>
      <c r="AG64" s="1">
        <v>6.98011987271878E-3</v>
      </c>
      <c r="AH64" s="1">
        <v>6.9801198096607203E-3</v>
      </c>
    </row>
    <row r="65" spans="1:34" x14ac:dyDescent="0.25">
      <c r="A65" s="2">
        <v>63</v>
      </c>
      <c r="B65" s="1">
        <v>7.5504126304405204E-3</v>
      </c>
      <c r="C65" s="1">
        <v>7.5342746609645501E-3</v>
      </c>
      <c r="D65" s="1">
        <v>7.5233906730940697E-3</v>
      </c>
      <c r="E65" s="1">
        <v>7.5160458929822904E-3</v>
      </c>
      <c r="F65" s="1">
        <v>7.5110875161508196E-3</v>
      </c>
      <c r="G65" s="1">
        <v>7.50773928751547E-3</v>
      </c>
      <c r="H65" s="1">
        <v>7.5054779349569703E-3</v>
      </c>
      <c r="I65" s="1">
        <v>7.5039504607962203E-3</v>
      </c>
      <c r="J65" s="1">
        <v>7.5029186147883504E-3</v>
      </c>
      <c r="K65" s="1">
        <v>7.5022215392616396E-3</v>
      </c>
      <c r="L65" s="1">
        <v>7.5017506042797397E-3</v>
      </c>
      <c r="M65" s="1">
        <v>7.5014324388479299E-3</v>
      </c>
      <c r="N65" s="1">
        <v>7.5012174814412498E-3</v>
      </c>
      <c r="O65" s="1">
        <v>7.5010722512790697E-3</v>
      </c>
      <c r="P65" s="1">
        <v>7.5009741296838701E-3</v>
      </c>
      <c r="Q65" s="1">
        <v>7.5009078356182103E-3</v>
      </c>
      <c r="R65" s="1">
        <v>7.5008630450835801E-3</v>
      </c>
      <c r="S65" s="1">
        <v>7.5008327829964297E-3</v>
      </c>
      <c r="T65" s="1">
        <v>7.50081233681495E-3</v>
      </c>
      <c r="U65" s="1">
        <v>7.5007985226060604E-3</v>
      </c>
      <c r="V65" s="1">
        <v>7.5007891892002899E-3</v>
      </c>
      <c r="W65" s="1">
        <v>7.5007828831926597E-3</v>
      </c>
      <c r="X65" s="1">
        <v>7.5007786226101202E-3</v>
      </c>
      <c r="Y65" s="1">
        <v>7.5007757439952E-3</v>
      </c>
      <c r="Z65" s="1">
        <v>7.5007737990909302E-3</v>
      </c>
      <c r="AA65" s="1">
        <v>7.5007724850377697E-3</v>
      </c>
      <c r="AB65" s="1">
        <v>7.5007715972121702E-3</v>
      </c>
      <c r="AC65" s="1">
        <v>7.5007709973625098E-3</v>
      </c>
      <c r="AD65" s="1">
        <v>7.5007705920806401E-3</v>
      </c>
      <c r="AE65" s="1">
        <v>7.5007703182563496E-3</v>
      </c>
      <c r="AF65" s="1">
        <v>7.50077013324996E-3</v>
      </c>
      <c r="AG65" s="1">
        <v>7.5007700082524E-3</v>
      </c>
      <c r="AH65" s="1">
        <v>7.5007699237991596E-3</v>
      </c>
    </row>
    <row r="66" spans="1:34" x14ac:dyDescent="0.25">
      <c r="A66" s="2">
        <v>64</v>
      </c>
      <c r="B66" s="1">
        <v>8.0647365717041002E-3</v>
      </c>
      <c r="C66" s="1">
        <v>8.0416796830117994E-3</v>
      </c>
      <c r="D66" s="1">
        <v>8.0261387222801007E-3</v>
      </c>
      <c r="E66" s="1">
        <v>8.0156555771665697E-3</v>
      </c>
      <c r="F66" s="1">
        <v>8.0085804747374797E-3</v>
      </c>
      <c r="G66" s="1">
        <v>8.0038037798181201E-3</v>
      </c>
      <c r="H66" s="1">
        <v>8.0005780641723805E-3</v>
      </c>
      <c r="I66" s="1">
        <v>7.9983993774313498E-3</v>
      </c>
      <c r="J66" s="1">
        <v>7.9969277059132107E-3</v>
      </c>
      <c r="K66" s="1">
        <v>7.9959335397120201E-3</v>
      </c>
      <c r="L66" s="1">
        <v>7.9952619118036708E-3</v>
      </c>
      <c r="M66" s="1">
        <v>7.9948081655121898E-3</v>
      </c>
      <c r="N66" s="1">
        <v>7.9945016112795194E-3</v>
      </c>
      <c r="O66" s="1">
        <v>7.9942944978707298E-3</v>
      </c>
      <c r="P66" s="1">
        <v>7.9941545669719397E-3</v>
      </c>
      <c r="Q66" s="1">
        <v>7.9940600255617306E-3</v>
      </c>
      <c r="R66" s="1">
        <v>7.9939961503156798E-3</v>
      </c>
      <c r="S66" s="1">
        <v>7.9939529939875697E-3</v>
      </c>
      <c r="T66" s="1">
        <v>7.9939238360148199E-3</v>
      </c>
      <c r="U66" s="1">
        <v>7.9939041358073597E-3</v>
      </c>
      <c r="V66" s="1">
        <v>7.9938908256036393E-3</v>
      </c>
      <c r="W66" s="1">
        <v>7.9938818327216395E-3</v>
      </c>
      <c r="X66" s="1">
        <v>7.9938757567843393E-3</v>
      </c>
      <c r="Y66" s="1">
        <v>7.9938716516459504E-3</v>
      </c>
      <c r="Z66" s="1">
        <v>7.9938688780549806E-3</v>
      </c>
      <c r="AA66" s="1">
        <v>7.9938670041089302E-3</v>
      </c>
      <c r="AB66" s="1">
        <v>7.9938657379978999E-3</v>
      </c>
      <c r="AC66" s="1">
        <v>7.9938648825638395E-3</v>
      </c>
      <c r="AD66" s="1">
        <v>7.9938643045991808E-3</v>
      </c>
      <c r="AE66" s="1">
        <v>7.9938639141036508E-3</v>
      </c>
      <c r="AF66" s="1">
        <v>7.9938636502696007E-3</v>
      </c>
      <c r="AG66" s="1">
        <v>7.9938634720130106E-3</v>
      </c>
      <c r="AH66" s="1">
        <v>7.9938633515758695E-3</v>
      </c>
    </row>
    <row r="67" spans="1:34" x14ac:dyDescent="0.25">
      <c r="A67" s="2">
        <v>65</v>
      </c>
      <c r="B67" s="1">
        <v>8.6599125164953192E-3</v>
      </c>
      <c r="C67" s="1">
        <v>8.6331493874713897E-3</v>
      </c>
      <c r="D67" s="1">
        <v>8.6151138025925503E-3</v>
      </c>
      <c r="E67" s="1">
        <v>8.60294949663549E-3</v>
      </c>
      <c r="F67" s="1">
        <v>8.5947404975450798E-3</v>
      </c>
      <c r="G67" s="1">
        <v>8.5891985918756398E-3</v>
      </c>
      <c r="H67" s="1">
        <v>8.5854562777441298E-3</v>
      </c>
      <c r="I67" s="1">
        <v>8.5829287429162997E-3</v>
      </c>
      <c r="J67" s="1">
        <v>8.5812214608827798E-3</v>
      </c>
      <c r="K67" s="1">
        <v>8.5800681457443607E-3</v>
      </c>
      <c r="L67" s="1">
        <v>8.5792890082704697E-3</v>
      </c>
      <c r="M67" s="1">
        <v>8.57876263238108E-3</v>
      </c>
      <c r="N67" s="1">
        <v>8.5784070104342192E-3</v>
      </c>
      <c r="O67" s="1">
        <v>8.5781667466393197E-3</v>
      </c>
      <c r="P67" s="1">
        <v>8.5780044188100892E-3</v>
      </c>
      <c r="Q67" s="1">
        <v>8.5778947455076408E-3</v>
      </c>
      <c r="R67" s="1">
        <v>8.5778206467229893E-3</v>
      </c>
      <c r="S67" s="1">
        <v>8.5777705830451592E-3</v>
      </c>
      <c r="T67" s="1">
        <v>8.5777367582299709E-3</v>
      </c>
      <c r="U67" s="1">
        <v>8.5777139049363297E-3</v>
      </c>
      <c r="V67" s="1">
        <v>8.5776984643911609E-3</v>
      </c>
      <c r="W67" s="1">
        <v>8.5776880321702699E-3</v>
      </c>
      <c r="X67" s="1">
        <v>8.5776809837607507E-3</v>
      </c>
      <c r="Y67" s="1">
        <v>8.5776762215827099E-3</v>
      </c>
      <c r="Z67" s="1">
        <v>8.57767300407037E-3</v>
      </c>
      <c r="AA67" s="1">
        <v>8.5776708301937895E-3</v>
      </c>
      <c r="AB67" s="1">
        <v>8.5776693614380197E-3</v>
      </c>
      <c r="AC67" s="1">
        <v>8.5776683690892801E-3</v>
      </c>
      <c r="AD67" s="1">
        <v>8.5776676986197096E-3</v>
      </c>
      <c r="AE67" s="1">
        <v>8.5776672456242594E-3</v>
      </c>
      <c r="AF67" s="1">
        <v>8.5776669395628193E-3</v>
      </c>
      <c r="AG67" s="1">
        <v>8.5776667327757405E-3</v>
      </c>
      <c r="AH67" s="1">
        <v>8.5776665930623001E-3</v>
      </c>
    </row>
    <row r="68" spans="1:34" x14ac:dyDescent="0.25">
      <c r="A68" s="2">
        <v>66</v>
      </c>
      <c r="B68" s="1">
        <v>9.5404669452955095E-3</v>
      </c>
      <c r="C68" s="1">
        <v>9.5166425803222699E-3</v>
      </c>
      <c r="D68" s="1">
        <v>9.5005794327252899E-3</v>
      </c>
      <c r="E68" s="1">
        <v>9.4897418189129005E-3</v>
      </c>
      <c r="F68" s="1">
        <v>9.4824264685739092E-3</v>
      </c>
      <c r="G68" s="1">
        <v>9.4774871088143496E-3</v>
      </c>
      <c r="H68" s="1">
        <v>9.4741513336405493E-3</v>
      </c>
      <c r="I68" s="1">
        <v>9.4718982148653107E-3</v>
      </c>
      <c r="J68" s="1">
        <v>9.4703762215288308E-3</v>
      </c>
      <c r="K68" s="1">
        <v>9.4693480410520201E-3</v>
      </c>
      <c r="L68" s="1">
        <v>9.4686534249746601E-3</v>
      </c>
      <c r="M68" s="1">
        <v>9.4681841438761204E-3</v>
      </c>
      <c r="N68" s="1">
        <v>9.4678670923047503E-3</v>
      </c>
      <c r="O68" s="1">
        <v>9.4676528858371901E-3</v>
      </c>
      <c r="P68" s="1">
        <v>9.4675081622954804E-3</v>
      </c>
      <c r="Q68" s="1">
        <v>9.4674103826535693E-3</v>
      </c>
      <c r="R68" s="1">
        <v>9.4673443194700207E-3</v>
      </c>
      <c r="S68" s="1">
        <v>9.4672996848576794E-3</v>
      </c>
      <c r="T68" s="1">
        <v>9.4672695280854507E-3</v>
      </c>
      <c r="U68" s="1">
        <v>9.4672491530441195E-3</v>
      </c>
      <c r="V68" s="1">
        <v>9.4672353868935806E-3</v>
      </c>
      <c r="W68" s="1">
        <v>9.4672260859548392E-3</v>
      </c>
      <c r="X68" s="1">
        <v>9.4672198018817995E-3</v>
      </c>
      <c r="Y68" s="1">
        <v>9.4672155561184804E-3</v>
      </c>
      <c r="Z68" s="1">
        <v>9.4672126875157206E-3</v>
      </c>
      <c r="AA68" s="1">
        <v>9.4672107493759296E-3</v>
      </c>
      <c r="AB68" s="1">
        <v>9.4672094398930602E-3</v>
      </c>
      <c r="AC68" s="1">
        <v>9.4672085551552806E-3</v>
      </c>
      <c r="AD68" s="1">
        <v>9.4672079573918707E-3</v>
      </c>
      <c r="AE68" s="1">
        <v>9.4672075535195393E-3</v>
      </c>
      <c r="AF68" s="1">
        <v>9.4672072806476007E-3</v>
      </c>
      <c r="AG68" s="1">
        <v>9.46720709628464E-3</v>
      </c>
      <c r="AH68" s="1">
        <v>9.4672069717218199E-3</v>
      </c>
    </row>
    <row r="69" spans="1:34" x14ac:dyDescent="0.25">
      <c r="A69" s="2">
        <v>67</v>
      </c>
      <c r="B69" s="1">
        <v>1.0615382924359601E-2</v>
      </c>
      <c r="C69" s="1">
        <v>1.05968203265691E-2</v>
      </c>
      <c r="D69" s="1">
        <v>1.0584296988938501E-2</v>
      </c>
      <c r="E69" s="1">
        <v>1.0575844066286999E-2</v>
      </c>
      <c r="F69" s="1">
        <v>1.05701367423333E-2</v>
      </c>
      <c r="G69" s="1">
        <v>1.0566282385240501E-2</v>
      </c>
      <c r="H69" s="1">
        <v>1.0563679022151801E-2</v>
      </c>
      <c r="I69" s="1">
        <v>1.05619204493425E-2</v>
      </c>
      <c r="J69" s="1">
        <v>1.05607324535761E-2</v>
      </c>
      <c r="K69" s="1">
        <v>1.05599298723861E-2</v>
      </c>
      <c r="L69" s="1">
        <v>1.0559387651470201E-2</v>
      </c>
      <c r="M69" s="1">
        <v>1.05590213214771E-2</v>
      </c>
      <c r="N69" s="1">
        <v>1.0558773821754099E-2</v>
      </c>
      <c r="O69" s="1">
        <v>1.05586066045223E-2</v>
      </c>
      <c r="P69" s="1">
        <v>1.05584936275079E-2</v>
      </c>
      <c r="Q69" s="1">
        <v>1.05584172964965E-2</v>
      </c>
      <c r="R69" s="1">
        <v>1.0558365724588899E-2</v>
      </c>
      <c r="S69" s="1">
        <v>1.0558330880731799E-2</v>
      </c>
      <c r="T69" s="1">
        <v>1.0558307338923101E-2</v>
      </c>
      <c r="U69" s="1">
        <v>1.0558291433185501E-2</v>
      </c>
      <c r="V69" s="1">
        <v>1.0558280686660201E-2</v>
      </c>
      <c r="W69" s="1">
        <v>1.05582734258933E-2</v>
      </c>
      <c r="X69" s="1">
        <v>1.05582685202379E-2</v>
      </c>
      <c r="Y69" s="1">
        <v>1.0558265205786401E-2</v>
      </c>
      <c r="Z69" s="1">
        <v>1.0558262966413901E-2</v>
      </c>
      <c r="AA69" s="1">
        <v>1.05582614534064E-2</v>
      </c>
      <c r="AB69" s="1">
        <v>1.05582604311595E-2</v>
      </c>
      <c r="AC69" s="1">
        <v>1.05582597404895E-2</v>
      </c>
      <c r="AD69" s="1">
        <v>1.0558259273845899E-2</v>
      </c>
      <c r="AE69" s="1">
        <v>1.05582589585632E-2</v>
      </c>
      <c r="AF69" s="1">
        <v>1.05582587455459E-2</v>
      </c>
      <c r="AG69" s="1">
        <v>1.0558258601623001E-2</v>
      </c>
      <c r="AH69" s="1">
        <v>1.05582585043831E-2</v>
      </c>
    </row>
    <row r="70" spans="1:34" x14ac:dyDescent="0.25">
      <c r="A70" s="2">
        <v>68</v>
      </c>
      <c r="B70" s="1">
        <v>1.1712420129226801E-2</v>
      </c>
      <c r="C70" s="1">
        <v>1.1693424251195799E-2</v>
      </c>
      <c r="D70" s="1">
        <v>1.1680607232858501E-2</v>
      </c>
      <c r="E70" s="1">
        <v>1.16719554603457E-2</v>
      </c>
      <c r="F70" s="1">
        <v>1.1666113590794201E-2</v>
      </c>
      <c r="G70" s="1">
        <v>1.1662168240601499E-2</v>
      </c>
      <c r="H70" s="1">
        <v>1.16595033585008E-2</v>
      </c>
      <c r="I70" s="1">
        <v>1.16577032025569E-2</v>
      </c>
      <c r="J70" s="1">
        <v>1.1656487103164E-2</v>
      </c>
      <c r="K70" s="1">
        <v>1.1655665530215501E-2</v>
      </c>
      <c r="L70" s="1">
        <v>1.16551104759675E-2</v>
      </c>
      <c r="M70" s="1">
        <v>1.1654735474471401E-2</v>
      </c>
      <c r="N70" s="1">
        <v>1.1654482115575701E-2</v>
      </c>
      <c r="O70" s="1">
        <v>1.16543109394905E-2</v>
      </c>
      <c r="P70" s="1">
        <v>1.16541952876435E-2</v>
      </c>
      <c r="Q70" s="1">
        <v>1.16541171493758E-2</v>
      </c>
      <c r="R70" s="1">
        <v>1.1654064356399201E-2</v>
      </c>
      <c r="S70" s="1">
        <v>1.16540286875328E-2</v>
      </c>
      <c r="T70" s="1">
        <v>1.1654004588312301E-2</v>
      </c>
      <c r="U70" s="1">
        <v>1.1653988305963901E-2</v>
      </c>
      <c r="V70" s="1">
        <v>1.16539773049849E-2</v>
      </c>
      <c r="W70" s="1">
        <v>1.16539698722989E-2</v>
      </c>
      <c r="X70" s="1">
        <v>1.1653964850488001E-2</v>
      </c>
      <c r="Y70" s="1">
        <v>1.16539614575572E-2</v>
      </c>
      <c r="Z70" s="1">
        <v>1.1653959165161E-2</v>
      </c>
      <c r="AA70" s="1">
        <v>1.1653957616328699E-2</v>
      </c>
      <c r="AB70" s="1">
        <v>1.16539565698771E-2</v>
      </c>
      <c r="AC70" s="1">
        <v>1.16539558628534E-2</v>
      </c>
      <c r="AD70" s="1">
        <v>1.16539553851606E-2</v>
      </c>
      <c r="AE70" s="1">
        <v>1.1653955062412701E-2</v>
      </c>
      <c r="AF70" s="1">
        <v>1.16539548443516E-2</v>
      </c>
      <c r="AG70" s="1">
        <v>1.16539546970209E-2</v>
      </c>
      <c r="AH70" s="1">
        <v>1.1653954597478601E-2</v>
      </c>
    </row>
    <row r="71" spans="1:34" x14ac:dyDescent="0.25">
      <c r="A71" s="2">
        <v>69</v>
      </c>
      <c r="B71" s="1">
        <v>1.28624735388856E-2</v>
      </c>
      <c r="C71" s="1">
        <v>1.28387001850608E-2</v>
      </c>
      <c r="D71" s="1">
        <v>1.2822662693969099E-2</v>
      </c>
      <c r="E71" s="1">
        <v>1.2811838405908599E-2</v>
      </c>
      <c r="F71" s="1">
        <v>1.2804530232774501E-2</v>
      </c>
      <c r="G71" s="1">
        <v>1.27995948897401E-2</v>
      </c>
      <c r="H71" s="1">
        <v>1.2796261448765601E-2</v>
      </c>
      <c r="I71" s="1">
        <v>1.2794009733867901E-2</v>
      </c>
      <c r="J71" s="1">
        <v>1.27924886100168E-2</v>
      </c>
      <c r="K71" s="1">
        <v>1.27914609809329E-2</v>
      </c>
      <c r="L71" s="1">
        <v>1.27907667209379E-2</v>
      </c>
      <c r="M71" s="1">
        <v>1.2790297672909699E-2</v>
      </c>
      <c r="N71" s="1">
        <v>1.2789980775380501E-2</v>
      </c>
      <c r="O71" s="1">
        <v>1.27897666714245E-2</v>
      </c>
      <c r="P71" s="1">
        <v>1.27896220164291E-2</v>
      </c>
      <c r="Q71" s="1">
        <v>1.27895242827737E-2</v>
      </c>
      <c r="R71" s="1">
        <v>1.2789458250511501E-2</v>
      </c>
      <c r="S71" s="1">
        <v>1.2789413636722801E-2</v>
      </c>
      <c r="T71" s="1">
        <v>1.27893834939889E-2</v>
      </c>
      <c r="U71" s="1">
        <v>1.2789363128418199E-2</v>
      </c>
      <c r="V71" s="1">
        <v>1.278934936866E-2</v>
      </c>
      <c r="W71" s="1">
        <v>1.27893400720371E-2</v>
      </c>
      <c r="X71" s="1">
        <v>1.27893337908788E-2</v>
      </c>
      <c r="Y71" s="1">
        <v>1.2789329547084101E-2</v>
      </c>
      <c r="Z71" s="1">
        <v>1.27893266798111E-2</v>
      </c>
      <c r="AA71" s="1">
        <v>1.27893247425697E-2</v>
      </c>
      <c r="AB71" s="1">
        <v>1.2789323433693701E-2</v>
      </c>
      <c r="AC71" s="1">
        <v>1.2789322549365999E-2</v>
      </c>
      <c r="AD71" s="1">
        <v>1.2789321951879601E-2</v>
      </c>
      <c r="AE71" s="1">
        <v>1.2789321548194401E-2</v>
      </c>
      <c r="AF71" s="1">
        <v>1.2789321275448901E-2</v>
      </c>
      <c r="AG71" s="1">
        <v>1.27893210911714E-2</v>
      </c>
      <c r="AH71" s="1">
        <v>1.27893209666662E-2</v>
      </c>
    </row>
    <row r="72" spans="1:34" x14ac:dyDescent="0.25">
      <c r="A72" s="2">
        <v>70</v>
      </c>
      <c r="B72" s="1">
        <v>1.41452735358597E-2</v>
      </c>
      <c r="C72" s="1">
        <v>1.4118077026031199E-2</v>
      </c>
      <c r="D72" s="1">
        <v>1.4099731394890999E-2</v>
      </c>
      <c r="E72" s="1">
        <v>1.4087349769178E-2</v>
      </c>
      <c r="F72" s="1">
        <v>1.4078990370005101E-2</v>
      </c>
      <c r="G72" s="1">
        <v>1.4073345221005701E-2</v>
      </c>
      <c r="H72" s="1">
        <v>1.4069532409689899E-2</v>
      </c>
      <c r="I72" s="1">
        <v>1.40669569057681E-2</v>
      </c>
      <c r="J72" s="1">
        <v>1.4065217059523001E-2</v>
      </c>
      <c r="K72" s="1">
        <v>1.4064041672264599E-2</v>
      </c>
      <c r="L72" s="1">
        <v>1.40632475898441E-2</v>
      </c>
      <c r="M72" s="1">
        <v>1.4062711101886199E-2</v>
      </c>
      <c r="N72" s="1">
        <v>1.4062348641130601E-2</v>
      </c>
      <c r="O72" s="1">
        <v>1.40621037537108E-2</v>
      </c>
      <c r="P72" s="1">
        <v>1.40619383005838E-2</v>
      </c>
      <c r="Q72" s="1">
        <v>1.4061826515070701E-2</v>
      </c>
      <c r="R72" s="1">
        <v>1.4061750988903001E-2</v>
      </c>
      <c r="S72" s="1">
        <v>1.4061699960696601E-2</v>
      </c>
      <c r="T72" s="1">
        <v>1.4061665484147501E-2</v>
      </c>
      <c r="U72" s="1">
        <v>1.4061642190489301E-2</v>
      </c>
      <c r="V72" s="1">
        <v>1.4061626452404E-2</v>
      </c>
      <c r="W72" s="1">
        <v>1.4061615819147499E-2</v>
      </c>
      <c r="X72" s="1">
        <v>1.40616086349079E-2</v>
      </c>
      <c r="Y72" s="1">
        <v>1.40616037809565E-2</v>
      </c>
      <c r="Z72" s="1">
        <v>1.40616005014379E-2</v>
      </c>
      <c r="AA72" s="1">
        <v>1.40615982856673E-2</v>
      </c>
      <c r="AB72" s="1">
        <v>1.40615967886061E-2</v>
      </c>
      <c r="AC72" s="1">
        <v>1.4061595777133101E-2</v>
      </c>
      <c r="AD72" s="1">
        <v>1.4061595093742401E-2</v>
      </c>
      <c r="AE72" s="1">
        <v>1.4061594632016901E-2</v>
      </c>
      <c r="AF72" s="1">
        <v>1.4061594320057101E-2</v>
      </c>
      <c r="AG72" s="1">
        <v>1.4061594109284901E-2</v>
      </c>
      <c r="AH72" s="1">
        <v>1.4061593966878901E-2</v>
      </c>
    </row>
    <row r="73" spans="1:34" x14ac:dyDescent="0.25">
      <c r="A73" s="2">
        <v>71</v>
      </c>
      <c r="B73" s="1">
        <v>1.59414152973309E-2</v>
      </c>
      <c r="C73" s="1">
        <v>1.5917610236321902E-2</v>
      </c>
      <c r="D73" s="1">
        <v>1.5901546569766601E-2</v>
      </c>
      <c r="E73" s="1">
        <v>1.5890702432016301E-2</v>
      </c>
      <c r="F73" s="1">
        <v>1.5883379861145599E-2</v>
      </c>
      <c r="G73" s="1">
        <v>1.58784343405909E-2</v>
      </c>
      <c r="H73" s="1">
        <v>1.5875093818084898E-2</v>
      </c>
      <c r="I73" s="1">
        <v>1.5872837225001799E-2</v>
      </c>
      <c r="J73" s="1">
        <v>1.58713127625329E-2</v>
      </c>
      <c r="K73" s="1">
        <v>1.58702828582492E-2</v>
      </c>
      <c r="L73" s="1">
        <v>1.5869587052140501E-2</v>
      </c>
      <c r="M73" s="1">
        <v>1.5869116955435102E-2</v>
      </c>
      <c r="N73" s="1">
        <v>1.58687993475243E-2</v>
      </c>
      <c r="O73" s="1">
        <v>1.5868584762760402E-2</v>
      </c>
      <c r="P73" s="1">
        <v>1.5868439782526E-2</v>
      </c>
      <c r="Q73" s="1">
        <v>1.5868341828949899E-2</v>
      </c>
      <c r="R73" s="1">
        <v>1.5868275648020298E-2</v>
      </c>
      <c r="S73" s="1">
        <v>1.5868230933749301E-2</v>
      </c>
      <c r="T73" s="1">
        <v>1.5868200723108902E-2</v>
      </c>
      <c r="U73" s="1">
        <v>1.5868180311650201E-2</v>
      </c>
      <c r="V73" s="1">
        <v>1.5868166520884699E-2</v>
      </c>
      <c r="W73" s="1">
        <v>1.5868157203310598E-2</v>
      </c>
      <c r="X73" s="1">
        <v>1.5868150907995999E-2</v>
      </c>
      <c r="Y73" s="1">
        <v>1.5868146654636501E-2</v>
      </c>
      <c r="Z73" s="1">
        <v>1.5868143780901001E-2</v>
      </c>
      <c r="AA73" s="1">
        <v>1.58681418392932E-2</v>
      </c>
      <c r="AB73" s="1">
        <v>1.5868140527467E-2</v>
      </c>
      <c r="AC73" s="1">
        <v>1.5868139641146001E-2</v>
      </c>
      <c r="AD73" s="1">
        <v>1.58681390423129E-2</v>
      </c>
      <c r="AE73" s="1">
        <v>1.5868138637717799E-2</v>
      </c>
      <c r="AF73" s="1">
        <v>1.58681383643576E-2</v>
      </c>
      <c r="AG73" s="1">
        <v>1.58681381796647E-2</v>
      </c>
      <c r="AH73" s="1">
        <v>1.58681380548789E-2</v>
      </c>
    </row>
    <row r="74" spans="1:34" x14ac:dyDescent="0.25">
      <c r="A74" s="2">
        <v>72</v>
      </c>
      <c r="B74" s="1">
        <v>1.8131716712376001E-2</v>
      </c>
      <c r="C74" s="1">
        <v>1.81129796152882E-2</v>
      </c>
      <c r="D74" s="1">
        <v>1.8100330960886299E-2</v>
      </c>
      <c r="E74" s="1">
        <v>1.80917899896571E-2</v>
      </c>
      <c r="F74" s="1">
        <v>1.8086021635915502E-2</v>
      </c>
      <c r="G74" s="1">
        <v>1.80821253420205E-2</v>
      </c>
      <c r="H74" s="1">
        <v>1.8079493324212801E-2</v>
      </c>
      <c r="I74" s="1">
        <v>1.8077715244875701E-2</v>
      </c>
      <c r="J74" s="1">
        <v>1.8076514002980101E-2</v>
      </c>
      <c r="K74" s="1">
        <v>1.8075702441719299E-2</v>
      </c>
      <c r="L74" s="1">
        <v>1.8075154139609799E-2</v>
      </c>
      <c r="M74" s="1">
        <v>1.80747836945769E-2</v>
      </c>
      <c r="N74" s="1">
        <v>1.80745334116745E-2</v>
      </c>
      <c r="O74" s="1">
        <v>1.8074364312695299E-2</v>
      </c>
      <c r="P74" s="1">
        <v>1.80742500636949E-2</v>
      </c>
      <c r="Q74" s="1">
        <v>1.8074172873004501E-2</v>
      </c>
      <c r="R74" s="1">
        <v>1.8074120720138202E-2</v>
      </c>
      <c r="S74" s="1">
        <v>1.8074085483705302E-2</v>
      </c>
      <c r="T74" s="1">
        <v>1.8074061676630799E-2</v>
      </c>
      <c r="U74" s="1">
        <v>1.80740455916573E-2</v>
      </c>
      <c r="V74" s="1">
        <v>1.8074034724027702E-2</v>
      </c>
      <c r="W74" s="1">
        <v>1.8074027381435601E-2</v>
      </c>
      <c r="X74" s="1">
        <v>1.80740224204947E-2</v>
      </c>
      <c r="Y74" s="1">
        <v>1.8074019068689599E-2</v>
      </c>
      <c r="Z74" s="1">
        <v>1.8074016804079301E-2</v>
      </c>
      <c r="AA74" s="1">
        <v>1.8074015274020101E-2</v>
      </c>
      <c r="AB74" s="1">
        <v>1.80740142402523E-2</v>
      </c>
      <c r="AC74" s="1">
        <v>1.8074013541798401E-2</v>
      </c>
      <c r="AD74" s="1">
        <v>1.80740130698956E-2</v>
      </c>
      <c r="AE74" s="1">
        <v>1.80740127510596E-2</v>
      </c>
      <c r="AF74" s="1">
        <v>1.80740125356415E-2</v>
      </c>
      <c r="AG74" s="1">
        <v>1.8074012390096601E-2</v>
      </c>
      <c r="AH74" s="1">
        <v>1.80740122917608E-2</v>
      </c>
    </row>
    <row r="75" spans="1:34" x14ac:dyDescent="0.25">
      <c r="A75" s="2">
        <v>73</v>
      </c>
      <c r="B75" s="1">
        <v>2.04923133231504E-2</v>
      </c>
      <c r="C75" s="1">
        <v>2.0476379024000301E-2</v>
      </c>
      <c r="D75" s="1">
        <v>2.0465620129598901E-2</v>
      </c>
      <c r="E75" s="1">
        <v>2.0458354166603999E-2</v>
      </c>
      <c r="F75" s="1">
        <v>2.04534464428823E-2</v>
      </c>
      <c r="G75" s="1">
        <v>2.0450131252245301E-2</v>
      </c>
      <c r="H75" s="1">
        <v>2.0447891680750799E-2</v>
      </c>
      <c r="I75" s="1">
        <v>2.0446378676010901E-2</v>
      </c>
      <c r="J75" s="1">
        <v>2.04453564935183E-2</v>
      </c>
      <c r="K75" s="1">
        <v>2.0444665895653798E-2</v>
      </c>
      <c r="L75" s="1">
        <v>2.04441993137797E-2</v>
      </c>
      <c r="M75" s="1">
        <v>2.0443884078772099E-2</v>
      </c>
      <c r="N75" s="1">
        <v>2.0443671096387998E-2</v>
      </c>
      <c r="O75" s="1">
        <v>2.0443527198397701E-2</v>
      </c>
      <c r="P75" s="1">
        <v>2.0443429975851701E-2</v>
      </c>
      <c r="Q75" s="1">
        <v>2.0443364288754099E-2</v>
      </c>
      <c r="R75" s="1">
        <v>2.0443319908098601E-2</v>
      </c>
      <c r="S75" s="1">
        <v>2.0443289922845002E-2</v>
      </c>
      <c r="T75" s="1">
        <v>2.0443269663658899E-2</v>
      </c>
      <c r="U75" s="1">
        <v>2.0443255975771301E-2</v>
      </c>
      <c r="V75" s="1">
        <v>2.0443246727703802E-2</v>
      </c>
      <c r="W75" s="1">
        <v>2.0443240479349901E-2</v>
      </c>
      <c r="X75" s="1">
        <v>2.04432362577186E-2</v>
      </c>
      <c r="Y75" s="1">
        <v>2.0443233405419699E-2</v>
      </c>
      <c r="Z75" s="1">
        <v>2.0443231478295201E-2</v>
      </c>
      <c r="AA75" s="1">
        <v>2.0443230176254601E-2</v>
      </c>
      <c r="AB75" s="1">
        <v>2.0443229296545001E-2</v>
      </c>
      <c r="AC75" s="1">
        <v>2.0443228702178799E-2</v>
      </c>
      <c r="AD75" s="1">
        <v>2.0443228300601801E-2</v>
      </c>
      <c r="AE75" s="1">
        <v>2.04432280292806E-2</v>
      </c>
      <c r="AF75" s="1">
        <v>2.04432278459654E-2</v>
      </c>
      <c r="AG75" s="1">
        <v>2.0443227722110501E-2</v>
      </c>
      <c r="AH75" s="1">
        <v>2.04432276384293E-2</v>
      </c>
    </row>
    <row r="76" spans="1:34" x14ac:dyDescent="0.25">
      <c r="A76" s="2">
        <v>74</v>
      </c>
      <c r="B76" s="1">
        <v>2.2793289584489299E-2</v>
      </c>
      <c r="C76" s="1">
        <v>2.27745233408768E-2</v>
      </c>
      <c r="D76" s="1">
        <v>2.2761852778469299E-2</v>
      </c>
      <c r="E76" s="1">
        <v>2.27532959953093E-2</v>
      </c>
      <c r="F76" s="1">
        <v>2.2747516497748501E-2</v>
      </c>
      <c r="G76" s="1">
        <v>2.2743612464492E-2</v>
      </c>
      <c r="H76" s="1">
        <v>2.2740975121771E-2</v>
      </c>
      <c r="I76" s="1">
        <v>2.2739193400949799E-2</v>
      </c>
      <c r="J76" s="1">
        <v>2.2737989678750799E-2</v>
      </c>
      <c r="K76" s="1">
        <v>2.2737176432583099E-2</v>
      </c>
      <c r="L76" s="1">
        <v>2.27366269879231E-2</v>
      </c>
      <c r="M76" s="1">
        <v>2.2736255769038899E-2</v>
      </c>
      <c r="N76" s="1">
        <v>2.2736004962425199E-2</v>
      </c>
      <c r="O76" s="1">
        <v>2.2735835509210298E-2</v>
      </c>
      <c r="P76" s="1">
        <v>2.2735721020693801E-2</v>
      </c>
      <c r="Q76" s="1">
        <v>2.2735643668094399E-2</v>
      </c>
      <c r="R76" s="1">
        <v>2.2735591405798498E-2</v>
      </c>
      <c r="S76" s="1">
        <v>2.27355560954134E-2</v>
      </c>
      <c r="T76" s="1">
        <v>2.27355322383661E-2</v>
      </c>
      <c r="U76" s="1">
        <v>2.2735516119625401E-2</v>
      </c>
      <c r="V76" s="1">
        <v>2.27355052291798E-2</v>
      </c>
      <c r="W76" s="1">
        <v>2.27354978711715E-2</v>
      </c>
      <c r="X76" s="1">
        <v>2.27354928998145E-2</v>
      </c>
      <c r="Y76" s="1">
        <v>2.2735489540971699E-2</v>
      </c>
      <c r="Z76" s="1">
        <v>2.2735487271606399E-2</v>
      </c>
      <c r="AA76" s="1">
        <v>2.2735485738334501E-2</v>
      </c>
      <c r="AB76" s="1">
        <v>2.27354847023961E-2</v>
      </c>
      <c r="AC76" s="1">
        <v>2.27354840024756E-2</v>
      </c>
      <c r="AD76" s="1">
        <v>2.27354835295819E-2</v>
      </c>
      <c r="AE76" s="1">
        <v>2.2735483210076401E-2</v>
      </c>
      <c r="AF76" s="1">
        <v>2.2735482994206E-2</v>
      </c>
      <c r="AG76" s="1">
        <v>2.2735482848355502E-2</v>
      </c>
      <c r="AH76" s="1">
        <v>2.2735482749813199E-2</v>
      </c>
    </row>
    <row r="77" spans="1:34" x14ac:dyDescent="0.25">
      <c r="A77" s="2">
        <v>75</v>
      </c>
      <c r="B77" s="1">
        <v>2.5087802517383202E-2</v>
      </c>
      <c r="C77" s="1">
        <v>2.5065986133717699E-2</v>
      </c>
      <c r="D77" s="1">
        <v>2.5051256735056999E-2</v>
      </c>
      <c r="E77" s="1">
        <v>2.5041309814587898E-2</v>
      </c>
      <c r="F77" s="1">
        <v>2.5034591493319599E-2</v>
      </c>
      <c r="G77" s="1">
        <v>2.5030053339966E-2</v>
      </c>
      <c r="H77" s="1">
        <v>2.5026987645752299E-2</v>
      </c>
      <c r="I77" s="1">
        <v>2.5024916552631699E-2</v>
      </c>
      <c r="J77" s="1">
        <v>2.5023517336861801E-2</v>
      </c>
      <c r="K77" s="1">
        <v>2.50225720156571E-2</v>
      </c>
      <c r="L77" s="1">
        <v>2.5021933339617101E-2</v>
      </c>
      <c r="M77" s="1">
        <v>2.5021501834202001E-2</v>
      </c>
      <c r="N77" s="1">
        <v>2.5021210296416501E-2</v>
      </c>
      <c r="O77" s="1">
        <v>2.5021013323978301E-2</v>
      </c>
      <c r="P77" s="1">
        <v>2.5020880242557601E-2</v>
      </c>
      <c r="Q77" s="1">
        <v>2.5020790327937501E-2</v>
      </c>
      <c r="R77" s="1">
        <v>2.5020729578282101E-2</v>
      </c>
      <c r="S77" s="1">
        <v>2.5020688533520099E-2</v>
      </c>
      <c r="T77" s="1">
        <v>2.5020660802110298E-2</v>
      </c>
      <c r="U77" s="1">
        <v>2.5020642065701801E-2</v>
      </c>
      <c r="V77" s="1">
        <v>2.5020629406658799E-2</v>
      </c>
      <c r="W77" s="1">
        <v>2.50206208537176E-2</v>
      </c>
      <c r="X77" s="1">
        <v>2.5020615075017499E-2</v>
      </c>
      <c r="Y77" s="1">
        <v>2.5020611170702301E-2</v>
      </c>
      <c r="Z77" s="1">
        <v>2.5020608532794399E-2</v>
      </c>
      <c r="AA77" s="1">
        <v>2.50206067505209E-2</v>
      </c>
      <c r="AB77" s="1">
        <v>2.5020605546347101E-2</v>
      </c>
      <c r="AC77" s="1">
        <v>2.5020604732760299E-2</v>
      </c>
      <c r="AD77" s="1">
        <v>2.5020604183069201E-2</v>
      </c>
      <c r="AE77" s="1">
        <v>2.5020603811676399E-2</v>
      </c>
      <c r="AF77" s="1">
        <v>2.5020603560748901E-2</v>
      </c>
      <c r="AG77" s="1">
        <v>2.5020603391212402E-2</v>
      </c>
      <c r="AH77" s="1">
        <v>2.5020603276667001E-2</v>
      </c>
    </row>
    <row r="78" spans="1:34" x14ac:dyDescent="0.25">
      <c r="A78" s="2">
        <v>76</v>
      </c>
      <c r="B78" s="1">
        <v>2.8060050645322399E-2</v>
      </c>
      <c r="C78" s="1">
        <v>2.8050211672896602E-2</v>
      </c>
      <c r="D78" s="1">
        <v>2.8043566003282099E-2</v>
      </c>
      <c r="E78" s="1">
        <v>2.8039076807440399E-2</v>
      </c>
      <c r="F78" s="1">
        <v>2.8036044132066899E-2</v>
      </c>
      <c r="G78" s="1">
        <v>2.80339953209447E-2</v>
      </c>
      <c r="H78" s="1">
        <v>2.8032611147523E-2</v>
      </c>
      <c r="I78" s="1">
        <v>2.8031675983929399E-2</v>
      </c>
      <c r="J78" s="1">
        <v>2.8031044168218399E-2</v>
      </c>
      <c r="K78" s="1">
        <v>2.8030617296745899E-2</v>
      </c>
      <c r="L78" s="1">
        <v>2.8030328889301799E-2</v>
      </c>
      <c r="M78" s="1">
        <v>2.8030134031602202E-2</v>
      </c>
      <c r="N78" s="1">
        <v>2.8030002378870902E-2</v>
      </c>
      <c r="O78" s="1">
        <v>2.80299134294788E-2</v>
      </c>
      <c r="P78" s="1">
        <v>2.8029853331946099E-2</v>
      </c>
      <c r="Q78" s="1">
        <v>2.80298127277731E-2</v>
      </c>
      <c r="R78" s="1">
        <v>2.8029785294037698E-2</v>
      </c>
      <c r="S78" s="1">
        <v>2.80297667587475E-2</v>
      </c>
      <c r="T78" s="1">
        <v>2.8029754235586901E-2</v>
      </c>
      <c r="U78" s="1">
        <v>2.8029745774452702E-2</v>
      </c>
      <c r="V78" s="1">
        <v>2.8029740057780701E-2</v>
      </c>
      <c r="W78" s="1">
        <v>2.8029736195374098E-2</v>
      </c>
      <c r="X78" s="1">
        <v>2.80297335857813E-2</v>
      </c>
      <c r="Y78" s="1">
        <v>2.8029731822638501E-2</v>
      </c>
      <c r="Z78" s="1">
        <v>2.80297306313902E-2</v>
      </c>
      <c r="AA78" s="1">
        <v>2.8029729826536301E-2</v>
      </c>
      <c r="AB78" s="1">
        <v>2.80297292827455E-2</v>
      </c>
      <c r="AC78" s="1">
        <v>2.8029728915339201E-2</v>
      </c>
      <c r="AD78" s="1">
        <v>2.8029728667105101E-2</v>
      </c>
      <c r="AE78" s="1">
        <v>2.8029728499388399E-2</v>
      </c>
      <c r="AF78" s="1">
        <v>2.8029728386072501E-2</v>
      </c>
      <c r="AG78" s="1">
        <v>2.8029728309511798E-2</v>
      </c>
      <c r="AH78" s="1">
        <v>2.8029728257784398E-2</v>
      </c>
    </row>
    <row r="79" spans="1:34" x14ac:dyDescent="0.25">
      <c r="A79" s="2">
        <v>77</v>
      </c>
      <c r="B79" s="1">
        <v>3.1498491745161498E-2</v>
      </c>
      <c r="C79" s="1">
        <v>3.1510240159168597E-2</v>
      </c>
      <c r="D79" s="1">
        <v>3.15181802880777E-2</v>
      </c>
      <c r="E79" s="1">
        <v>3.1523546064300897E-2</v>
      </c>
      <c r="F79" s="1">
        <v>3.1527171901498299E-2</v>
      </c>
      <c r="G79" s="1">
        <v>3.15296218912876E-2</v>
      </c>
      <c r="H79" s="1">
        <v>3.1531277306309898E-2</v>
      </c>
      <c r="I79" s="1">
        <v>3.1532395817891301E-2</v>
      </c>
      <c r="J79" s="1">
        <v>3.15331515501861E-2</v>
      </c>
      <c r="K79" s="1">
        <v>3.1533662162587101E-2</v>
      </c>
      <c r="L79" s="1">
        <v>3.1534007156912298E-2</v>
      </c>
      <c r="M79" s="1">
        <v>3.1534240250681397E-2</v>
      </c>
      <c r="N79" s="1">
        <v>3.1534397738913103E-2</v>
      </c>
      <c r="O79" s="1">
        <v>3.1534504144563498E-2</v>
      </c>
      <c r="P79" s="1">
        <v>3.1534576036584903E-2</v>
      </c>
      <c r="Q79" s="1">
        <v>3.1534624609739201E-2</v>
      </c>
      <c r="R79" s="1">
        <v>3.1534657427704699E-2</v>
      </c>
      <c r="S79" s="1">
        <v>3.1534679600825503E-2</v>
      </c>
      <c r="T79" s="1">
        <v>3.1534694581862199E-2</v>
      </c>
      <c r="U79" s="1">
        <v>3.1534704703640899E-2</v>
      </c>
      <c r="V79" s="1">
        <v>3.15347115423125E-2</v>
      </c>
      <c r="W79" s="1">
        <v>3.1534716162787399E-2</v>
      </c>
      <c r="X79" s="1">
        <v>3.1534719284561502E-2</v>
      </c>
      <c r="Y79" s="1">
        <v>3.1534721393754399E-2</v>
      </c>
      <c r="Z79" s="1">
        <v>3.1534722818807703E-2</v>
      </c>
      <c r="AA79" s="1">
        <v>3.1534723781629602E-2</v>
      </c>
      <c r="AB79" s="1">
        <v>3.1534724432149698E-2</v>
      </c>
      <c r="AC79" s="1">
        <v>3.15347248716666E-2</v>
      </c>
      <c r="AD79" s="1">
        <v>3.1534725168621401E-2</v>
      </c>
      <c r="AE79" s="1">
        <v>3.1534725369255598E-2</v>
      </c>
      <c r="AF79" s="1">
        <v>3.1534725504811997E-2</v>
      </c>
      <c r="AG79" s="1">
        <v>3.15347255963992E-2</v>
      </c>
      <c r="AH79" s="1">
        <v>3.1534725658279097E-2</v>
      </c>
    </row>
    <row r="80" spans="1:34" x14ac:dyDescent="0.25">
      <c r="A80" s="2">
        <v>78</v>
      </c>
      <c r="B80" s="1">
        <v>3.4951626938650997E-2</v>
      </c>
      <c r="C80" s="1">
        <v>3.4974543824889903E-2</v>
      </c>
      <c r="D80" s="1">
        <v>3.4990035723672597E-2</v>
      </c>
      <c r="E80" s="1">
        <v>3.5000506471750098E-2</v>
      </c>
      <c r="F80" s="1">
        <v>3.5007582660931097E-2</v>
      </c>
      <c r="G80" s="1">
        <v>3.50123644066292E-2</v>
      </c>
      <c r="H80" s="1">
        <v>3.50155955042755E-2</v>
      </c>
      <c r="I80" s="1">
        <v>3.50177787260669E-2</v>
      </c>
      <c r="J80" s="1">
        <v>3.5019253871825903E-2</v>
      </c>
      <c r="K80" s="1">
        <v>3.5020250572576503E-2</v>
      </c>
      <c r="L80" s="1">
        <v>3.5020923998378903E-2</v>
      </c>
      <c r="M80" s="1">
        <v>3.50213789984039E-2</v>
      </c>
      <c r="N80" s="1">
        <v>3.5021686417512903E-2</v>
      </c>
      <c r="O80" s="1">
        <v>3.5021894123393398E-2</v>
      </c>
      <c r="P80" s="1">
        <v>3.5022034458299302E-2</v>
      </c>
      <c r="Q80" s="1">
        <v>3.5022129274366098E-2</v>
      </c>
      <c r="R80" s="1">
        <v>3.5022193335953897E-2</v>
      </c>
      <c r="S80" s="1">
        <v>3.5022236618534798E-2</v>
      </c>
      <c r="T80" s="1">
        <v>3.5022265861969902E-2</v>
      </c>
      <c r="U80" s="1">
        <v>3.5022285619992599E-2</v>
      </c>
      <c r="V80" s="1">
        <v>3.5022298969292202E-2</v>
      </c>
      <c r="W80" s="1">
        <v>3.5022307988604097E-2</v>
      </c>
      <c r="X80" s="1">
        <v>3.5022314082405602E-2</v>
      </c>
      <c r="Y80" s="1">
        <v>3.5022318199616903E-2</v>
      </c>
      <c r="Z80" s="1">
        <v>3.5022320981366199E-2</v>
      </c>
      <c r="AA80" s="1">
        <v>3.50223228608251E-2</v>
      </c>
      <c r="AB80" s="1">
        <v>3.5022324130661101E-2</v>
      </c>
      <c r="AC80" s="1">
        <v>3.5022324988611998E-2</v>
      </c>
      <c r="AD80" s="1">
        <v>3.5022325568277203E-2</v>
      </c>
      <c r="AE80" s="1">
        <v>3.5022325959921698E-2</v>
      </c>
      <c r="AF80" s="1">
        <v>3.5022326224532101E-2</v>
      </c>
      <c r="AG80" s="1">
        <v>3.5022326403313202E-2</v>
      </c>
      <c r="AH80" s="1">
        <v>3.5022326524104697E-2</v>
      </c>
    </row>
    <row r="81" spans="1:34" x14ac:dyDescent="0.25">
      <c r="A81" s="2">
        <v>79</v>
      </c>
      <c r="B81" s="1">
        <v>3.84521206264479E-2</v>
      </c>
      <c r="C81" s="1">
        <v>3.8477156286998597E-2</v>
      </c>
      <c r="D81" s="1">
        <v>3.8494080404327898E-2</v>
      </c>
      <c r="E81" s="1">
        <v>3.8505519131174698E-2</v>
      </c>
      <c r="F81" s="1">
        <v>3.8513249468919597E-2</v>
      </c>
      <c r="G81" s="1">
        <v>3.8518473248835498E-2</v>
      </c>
      <c r="H81" s="1">
        <v>3.8522003032160197E-2</v>
      </c>
      <c r="I81" s="1">
        <v>3.8524388071408802E-2</v>
      </c>
      <c r="J81" s="1">
        <v>3.8525999579205002E-2</v>
      </c>
      <c r="K81" s="1">
        <v>3.8527088414344102E-2</v>
      </c>
      <c r="L81" s="1">
        <v>3.8527824091050697E-2</v>
      </c>
      <c r="M81" s="1">
        <v>3.8528321150818598E-2</v>
      </c>
      <c r="N81" s="1">
        <v>3.85286569874079E-2</v>
      </c>
      <c r="O81" s="1">
        <v>3.8528883893374402E-2</v>
      </c>
      <c r="P81" s="1">
        <v>3.8529037200666402E-2</v>
      </c>
      <c r="Q81" s="1">
        <v>3.8529140781410801E-2</v>
      </c>
      <c r="R81" s="1">
        <v>3.8529210764769603E-2</v>
      </c>
      <c r="S81" s="1">
        <v>3.8529258048336103E-2</v>
      </c>
      <c r="T81" s="1">
        <v>3.8529289994996101E-2</v>
      </c>
      <c r="U81" s="1">
        <v>3.8529311579424498E-2</v>
      </c>
      <c r="V81" s="1">
        <v>3.8529326162715601E-2</v>
      </c>
      <c r="W81" s="1">
        <v>3.8529336015760897E-2</v>
      </c>
      <c r="X81" s="1">
        <v>3.8529342672865299E-2</v>
      </c>
      <c r="Y81" s="1">
        <v>3.8529347170666098E-2</v>
      </c>
      <c r="Z81" s="1">
        <v>3.8529350209556702E-2</v>
      </c>
      <c r="AA81" s="1">
        <v>3.8529352262750199E-2</v>
      </c>
      <c r="AB81" s="1">
        <v>3.85293536499682E-2</v>
      </c>
      <c r="AC81" s="1">
        <v>3.8529354587226901E-2</v>
      </c>
      <c r="AD81" s="1">
        <v>3.8529355220475597E-2</v>
      </c>
      <c r="AE81" s="1">
        <v>3.8529355648323299E-2</v>
      </c>
      <c r="AF81" s="1">
        <v>3.8529355937393803E-2</v>
      </c>
      <c r="AG81" s="1">
        <v>3.8529356132701302E-2</v>
      </c>
      <c r="AH81" s="1">
        <v>3.8529356264658601E-2</v>
      </c>
    </row>
    <row r="82" spans="1:34" x14ac:dyDescent="0.25">
      <c r="A82" s="2">
        <v>80</v>
      </c>
      <c r="B82" s="1">
        <v>4.2074583249707698E-2</v>
      </c>
      <c r="C82" s="1">
        <v>4.2105494646286698E-2</v>
      </c>
      <c r="D82" s="1">
        <v>4.2126392173191099E-2</v>
      </c>
      <c r="E82" s="1">
        <v>4.2140517104532399E-2</v>
      </c>
      <c r="F82" s="1">
        <v>4.2150063084004097E-2</v>
      </c>
      <c r="G82" s="1">
        <v>4.2156513918981599E-2</v>
      </c>
      <c r="H82" s="1">
        <v>4.2160872902343403E-2</v>
      </c>
      <c r="I82" s="1">
        <v>4.2163818251720601E-2</v>
      </c>
      <c r="J82" s="1">
        <v>4.2165808358984598E-2</v>
      </c>
      <c r="K82" s="1">
        <v>4.2167153005356901E-2</v>
      </c>
      <c r="L82" s="1">
        <v>4.2168061524815899E-2</v>
      </c>
      <c r="M82" s="1">
        <v>4.2168675366957203E-2</v>
      </c>
      <c r="N82" s="1">
        <v>4.2169090107678497E-2</v>
      </c>
      <c r="O82" s="1">
        <v>4.2169370324999199E-2</v>
      </c>
      <c r="P82" s="1">
        <v>4.2169559651818102E-2</v>
      </c>
      <c r="Q82" s="1">
        <v>4.2169687568896601E-2</v>
      </c>
      <c r="R82" s="1">
        <v>4.21697739948955E-2</v>
      </c>
      <c r="S82" s="1">
        <v>4.2169832387780701E-2</v>
      </c>
      <c r="T82" s="1">
        <v>4.2169871840343702E-2</v>
      </c>
      <c r="U82" s="1">
        <v>4.21698984960596E-2</v>
      </c>
      <c r="V82" s="1">
        <v>4.2169916505713702E-2</v>
      </c>
      <c r="W82" s="1">
        <v>4.2169928673745097E-2</v>
      </c>
      <c r="X82" s="1">
        <v>4.2169936894945199E-2</v>
      </c>
      <c r="Y82" s="1">
        <v>4.2169942449510597E-2</v>
      </c>
      <c r="Z82" s="1">
        <v>4.2169946202392797E-2</v>
      </c>
      <c r="AA82" s="1">
        <v>4.2169948737986997E-2</v>
      </c>
      <c r="AB82" s="1">
        <v>4.2169950451133802E-2</v>
      </c>
      <c r="AC82" s="1">
        <v>4.2169951608602797E-2</v>
      </c>
      <c r="AD82" s="1">
        <v>4.2169952390634202E-2</v>
      </c>
      <c r="AE82" s="1">
        <v>4.2169952919005202E-2</v>
      </c>
      <c r="AF82" s="1">
        <v>4.2169953275993301E-2</v>
      </c>
      <c r="AG82" s="1">
        <v>4.2169953517188503E-2</v>
      </c>
      <c r="AH82" s="1">
        <v>4.2169953680149398E-2</v>
      </c>
    </row>
    <row r="83" spans="1:34" x14ac:dyDescent="0.25">
      <c r="A83" s="2">
        <v>81</v>
      </c>
      <c r="B83" s="1">
        <v>4.7284497740472602E-2</v>
      </c>
      <c r="C83" s="1">
        <v>4.7356751555116199E-2</v>
      </c>
      <c r="D83" s="1">
        <v>4.7405630030739901E-2</v>
      </c>
      <c r="E83" s="1">
        <v>4.7438682102129398E-2</v>
      </c>
      <c r="F83" s="1">
        <v>4.7461026101611001E-2</v>
      </c>
      <c r="G83" s="1">
        <v>4.7476128394267202E-2</v>
      </c>
      <c r="H83" s="1">
        <v>4.7486334748214898E-2</v>
      </c>
      <c r="I83" s="1">
        <v>4.7493231772134499E-2</v>
      </c>
      <c r="J83" s="1">
        <v>4.7497892224640598E-2</v>
      </c>
      <c r="K83" s="1">
        <v>4.7501041261304798E-2</v>
      </c>
      <c r="L83" s="1">
        <v>4.7503168989010698E-2</v>
      </c>
      <c r="M83" s="1">
        <v>4.7504606617750501E-2</v>
      </c>
      <c r="N83" s="1">
        <v>4.75055779600147E-2</v>
      </c>
      <c r="O83" s="1">
        <v>4.7506234247829099E-2</v>
      </c>
      <c r="P83" s="1">
        <v>4.7506677666566403E-2</v>
      </c>
      <c r="Q83" s="1">
        <v>4.7506977259903299E-2</v>
      </c>
      <c r="R83" s="1">
        <v>4.7507179677929202E-2</v>
      </c>
      <c r="S83" s="1">
        <v>4.7507316439944998E-2</v>
      </c>
      <c r="T83" s="1">
        <v>4.7507408841932303E-2</v>
      </c>
      <c r="U83" s="1">
        <v>4.7507471272429998E-2</v>
      </c>
      <c r="V83" s="1">
        <v>4.75075134529628E-2</v>
      </c>
      <c r="W83" s="1">
        <v>4.7507541951801999E-2</v>
      </c>
      <c r="X83" s="1">
        <v>4.7507561206742398E-2</v>
      </c>
      <c r="Y83" s="1">
        <v>4.7507574216138E-2</v>
      </c>
      <c r="Z83" s="1">
        <v>4.75075830057968E-2</v>
      </c>
      <c r="AA83" s="1">
        <v>4.7507588944434999E-2</v>
      </c>
      <c r="AB83" s="1">
        <v>4.7507592956811902E-2</v>
      </c>
      <c r="AC83" s="1">
        <v>4.7507595667730898E-2</v>
      </c>
      <c r="AD83" s="1">
        <v>4.7507597499333899E-2</v>
      </c>
      <c r="AE83" s="1">
        <v>4.7507598736836597E-2</v>
      </c>
      <c r="AF83" s="1">
        <v>4.75075995729419E-2</v>
      </c>
      <c r="AG83" s="1">
        <v>4.7507600137847397E-2</v>
      </c>
      <c r="AH83" s="1">
        <v>4.7507600519519702E-2</v>
      </c>
    </row>
    <row r="84" spans="1:34" x14ac:dyDescent="0.25">
      <c r="A84" s="2">
        <v>82</v>
      </c>
      <c r="B84" s="1">
        <v>5.3996605087717697E-2</v>
      </c>
      <c r="C84" s="1">
        <v>5.4126809061665199E-2</v>
      </c>
      <c r="D84" s="1">
        <v>5.4214952689845899E-2</v>
      </c>
      <c r="E84" s="1">
        <v>5.4274584946276801E-2</v>
      </c>
      <c r="F84" s="1">
        <v>5.4314910920208299E-2</v>
      </c>
      <c r="G84" s="1">
        <v>5.4342173211748702E-2</v>
      </c>
      <c r="H84" s="1">
        <v>5.4360600211827599E-2</v>
      </c>
      <c r="I84" s="1">
        <v>5.4373053652232203E-2</v>
      </c>
      <c r="J84" s="1">
        <v>5.4381469253683798E-2</v>
      </c>
      <c r="K84" s="1">
        <v>5.43871558800419E-2</v>
      </c>
      <c r="L84" s="1">
        <v>5.4390998314537399E-2</v>
      </c>
      <c r="M84" s="1">
        <v>5.4393594563018302E-2</v>
      </c>
      <c r="N84" s="1">
        <v>5.4395348758279699E-2</v>
      </c>
      <c r="O84" s="1">
        <v>5.4396533992373403E-2</v>
      </c>
      <c r="P84" s="1">
        <v>5.43973347971188E-2</v>
      </c>
      <c r="Q84" s="1">
        <v>5.4397875858629402E-2</v>
      </c>
      <c r="R84" s="1">
        <v>5.4398241423920503E-2</v>
      </c>
      <c r="S84" s="1">
        <v>5.43984884154885E-2</v>
      </c>
      <c r="T84" s="1">
        <v>5.4398655293274499E-2</v>
      </c>
      <c r="U84" s="1">
        <v>5.4398768042718697E-2</v>
      </c>
      <c r="V84" s="1">
        <v>5.4398844220784101E-2</v>
      </c>
      <c r="W84" s="1">
        <v>5.4398895689724801E-2</v>
      </c>
      <c r="X84" s="1">
        <v>5.4398930464182003E-2</v>
      </c>
      <c r="Y84" s="1">
        <v>5.4398953959178403E-2</v>
      </c>
      <c r="Z84" s="1">
        <v>5.4398969833322999E-2</v>
      </c>
      <c r="AA84" s="1">
        <v>5.43989805585188E-2</v>
      </c>
      <c r="AB84" s="1">
        <v>5.4398987804881997E-2</v>
      </c>
      <c r="AC84" s="1">
        <v>5.4398992700809001E-2</v>
      </c>
      <c r="AD84" s="1">
        <v>5.43989960086892E-2</v>
      </c>
      <c r="AE84" s="1">
        <v>5.4398998243622598E-2</v>
      </c>
      <c r="AF84" s="1">
        <v>5.4398999753631098E-2</v>
      </c>
      <c r="AG84" s="1">
        <v>5.4399000773851999E-2</v>
      </c>
      <c r="AH84" s="1">
        <v>5.4399001463153102E-2</v>
      </c>
    </row>
    <row r="85" spans="1:34" x14ac:dyDescent="0.25">
      <c r="A85" s="2">
        <v>83</v>
      </c>
      <c r="B85" s="1">
        <v>6.1633173156350703E-2</v>
      </c>
      <c r="C85" s="1">
        <v>6.1813603393314598E-2</v>
      </c>
      <c r="D85" s="1">
        <v>6.1935798475538199E-2</v>
      </c>
      <c r="E85" s="1">
        <v>6.2018490589101298E-2</v>
      </c>
      <c r="F85" s="1">
        <v>6.2074421102512302E-2</v>
      </c>
      <c r="G85" s="1">
        <v>6.2112237580638399E-2</v>
      </c>
      <c r="H85" s="1">
        <v>6.2137800495262102E-2</v>
      </c>
      <c r="I85" s="1">
        <v>6.2155077564837402E-2</v>
      </c>
      <c r="J85" s="1">
        <v>6.2166753261084097E-2</v>
      </c>
      <c r="K85" s="1">
        <v>6.2174643020035898E-2</v>
      </c>
      <c r="L85" s="1">
        <v>6.2179974198544298E-2</v>
      </c>
      <c r="M85" s="1">
        <v>6.2183576401824002E-2</v>
      </c>
      <c r="N85" s="1">
        <v>6.2186010305660497E-2</v>
      </c>
      <c r="O85" s="1">
        <v>6.21876547985332E-2</v>
      </c>
      <c r="P85" s="1">
        <v>6.21887659060988E-2</v>
      </c>
      <c r="Q85" s="1">
        <v>6.2189516624727798E-2</v>
      </c>
      <c r="R85" s="1">
        <v>6.2190023844576697E-2</v>
      </c>
      <c r="S85" s="1">
        <v>6.2190366544422199E-2</v>
      </c>
      <c r="T85" s="1">
        <v>6.2190598086883299E-2</v>
      </c>
      <c r="U85" s="1">
        <v>6.21907545265033E-2</v>
      </c>
      <c r="V85" s="1">
        <v>6.2190860223448101E-2</v>
      </c>
      <c r="W85" s="1">
        <v>6.2190931636538702E-2</v>
      </c>
      <c r="X85" s="1">
        <v>6.2190979886062203E-2</v>
      </c>
      <c r="Y85" s="1">
        <v>6.2191012485348897E-2</v>
      </c>
      <c r="Z85" s="1">
        <v>6.2191034510712097E-2</v>
      </c>
      <c r="AA85" s="1">
        <v>6.2191049391913597E-2</v>
      </c>
      <c r="AB85" s="1">
        <v>6.2191059446237699E-2</v>
      </c>
      <c r="AC85" s="1">
        <v>6.2191066239333397E-2</v>
      </c>
      <c r="AD85" s="1">
        <v>6.2191070829015101E-2</v>
      </c>
      <c r="AE85" s="1">
        <v>6.2191073929983798E-2</v>
      </c>
      <c r="AF85" s="1">
        <v>6.2191076025119703E-2</v>
      </c>
      <c r="AG85" s="1">
        <v>6.2191077440675598E-2</v>
      </c>
      <c r="AH85" s="1">
        <v>6.2191078397080497E-2</v>
      </c>
    </row>
    <row r="86" spans="1:34" x14ac:dyDescent="0.25">
      <c r="A86" s="2">
        <v>84</v>
      </c>
      <c r="B86" s="1">
        <v>7.0275757795420807E-2</v>
      </c>
      <c r="C86" s="1">
        <v>7.0498036967223607E-2</v>
      </c>
      <c r="D86" s="1">
        <v>7.0648600749138493E-2</v>
      </c>
      <c r="E86" s="1">
        <v>7.0750502841529894E-2</v>
      </c>
      <c r="F86" s="1">
        <v>7.0819432017246498E-2</v>
      </c>
      <c r="G86" s="1">
        <v>7.0866039879413201E-2</v>
      </c>
      <c r="H86" s="1">
        <v>7.0897546698959493E-2</v>
      </c>
      <c r="I86" s="1">
        <v>7.0918841576658703E-2</v>
      </c>
      <c r="J86" s="1">
        <v>7.0933232716750297E-2</v>
      </c>
      <c r="K86" s="1">
        <v>7.0942957526416203E-2</v>
      </c>
      <c r="L86" s="1">
        <v>7.09495287153242E-2</v>
      </c>
      <c r="M86" s="1">
        <v>7.0953968799567294E-2</v>
      </c>
      <c r="N86" s="1">
        <v>7.0956968845737697E-2</v>
      </c>
      <c r="O86" s="1">
        <v>7.0958995863492594E-2</v>
      </c>
      <c r="P86" s="1">
        <v>7.09603654275833E-2</v>
      </c>
      <c r="Q86" s="1">
        <v>7.0961290773090699E-2</v>
      </c>
      <c r="R86" s="1">
        <v>7.0961915979306206E-2</v>
      </c>
      <c r="S86" s="1">
        <v>7.0962338396095004E-2</v>
      </c>
      <c r="T86" s="1">
        <v>7.0962623798778907E-2</v>
      </c>
      <c r="U86" s="1">
        <v>7.0962816628626593E-2</v>
      </c>
      <c r="V86" s="1">
        <v>7.0962946912303398E-2</v>
      </c>
      <c r="W86" s="1">
        <v>7.0963034937184297E-2</v>
      </c>
      <c r="X86" s="1">
        <v>7.0963094410297994E-2</v>
      </c>
      <c r="Y86" s="1">
        <v>7.0963134592688104E-2</v>
      </c>
      <c r="Z86" s="1">
        <v>7.0963161741495806E-2</v>
      </c>
      <c r="AA86" s="1">
        <v>7.0963180084298305E-2</v>
      </c>
      <c r="AB86" s="1">
        <v>7.0963192477416101E-2</v>
      </c>
      <c r="AC86" s="1">
        <v>7.0963200850692604E-2</v>
      </c>
      <c r="AD86" s="1">
        <v>7.0963206508006402E-2</v>
      </c>
      <c r="AE86" s="1">
        <v>7.0963210330309306E-2</v>
      </c>
      <c r="AF86" s="1">
        <v>7.09632129128068E-2</v>
      </c>
      <c r="AG86" s="1">
        <v>7.09632146576432E-2</v>
      </c>
      <c r="AH86" s="1">
        <v>7.0963215836523E-2</v>
      </c>
    </row>
    <row r="87" spans="1:34" x14ac:dyDescent="0.25">
      <c r="A87" s="2">
        <v>85</v>
      </c>
      <c r="B87" s="1">
        <v>7.9510364074920903E-2</v>
      </c>
      <c r="C87" s="1">
        <v>7.9778271918434202E-2</v>
      </c>
      <c r="D87" s="1">
        <v>7.9959770477886896E-2</v>
      </c>
      <c r="E87" s="1">
        <v>8.0082621940868307E-2</v>
      </c>
      <c r="F87" s="1">
        <v>8.0165727563810393E-2</v>
      </c>
      <c r="G87" s="1">
        <v>8.0221923748609494E-2</v>
      </c>
      <c r="H87" s="1">
        <v>8.0259913455571402E-2</v>
      </c>
      <c r="I87" s="1">
        <v>8.02855905455237E-2</v>
      </c>
      <c r="J87" s="1">
        <v>8.0302943447704195E-2</v>
      </c>
      <c r="K87" s="1">
        <v>8.03146697817224E-2</v>
      </c>
      <c r="L87" s="1">
        <v>8.0322593480599502E-2</v>
      </c>
      <c r="M87" s="1">
        <v>8.0327947465630295E-2</v>
      </c>
      <c r="N87" s="1">
        <v>8.0331565020993298E-2</v>
      </c>
      <c r="O87" s="1">
        <v>8.0334009271323198E-2</v>
      </c>
      <c r="P87" s="1">
        <v>8.0335660742833603E-2</v>
      </c>
      <c r="Q87" s="1">
        <v>8.0336776560026593E-2</v>
      </c>
      <c r="R87" s="1">
        <v>8.0337530458193196E-2</v>
      </c>
      <c r="S87" s="1">
        <v>8.0338039825133906E-2</v>
      </c>
      <c r="T87" s="1">
        <v>8.0338383975123606E-2</v>
      </c>
      <c r="U87" s="1">
        <v>8.0338616497123802E-2</v>
      </c>
      <c r="V87" s="1">
        <v>8.0338773598451499E-2</v>
      </c>
      <c r="W87" s="1">
        <v>8.0338879742422903E-2</v>
      </c>
      <c r="X87" s="1">
        <v>8.0338951457519805E-2</v>
      </c>
      <c r="Y87" s="1">
        <v>8.03389999110804E-2</v>
      </c>
      <c r="Z87" s="1">
        <v>8.0339032648217901E-2</v>
      </c>
      <c r="AA87" s="1">
        <v>8.0339054766716295E-2</v>
      </c>
      <c r="AB87" s="1">
        <v>8.0339069710842703E-2</v>
      </c>
      <c r="AC87" s="1">
        <v>8.0339079807680902E-2</v>
      </c>
      <c r="AD87" s="1">
        <v>8.0339086629500497E-2</v>
      </c>
      <c r="AE87" s="1">
        <v>8.0339091238589094E-2</v>
      </c>
      <c r="AF87" s="1">
        <v>8.0339094352669893E-2</v>
      </c>
      <c r="AG87" s="1">
        <v>8.0339096456664802E-2</v>
      </c>
      <c r="AH87" s="1">
        <v>8.0339097878206103E-2</v>
      </c>
    </row>
    <row r="88" spans="1:34" x14ac:dyDescent="0.25">
      <c r="A88" s="2">
        <v>86</v>
      </c>
      <c r="B88" s="1">
        <v>9.0216814615594304E-2</v>
      </c>
      <c r="C88" s="1">
        <v>9.0577597692039796E-2</v>
      </c>
      <c r="D88" s="1">
        <v>9.0822134394648202E-2</v>
      </c>
      <c r="E88" s="1">
        <v>9.0987708756573499E-2</v>
      </c>
      <c r="F88" s="1">
        <v>9.1099739957141102E-2</v>
      </c>
      <c r="G88" s="1">
        <v>9.1175506964838796E-2</v>
      </c>
      <c r="H88" s="1">
        <v>9.1226732082901094E-2</v>
      </c>
      <c r="I88" s="1">
        <v>9.1261357288620101E-2</v>
      </c>
      <c r="J88" s="1">
        <v>9.1284758515753794E-2</v>
      </c>
      <c r="K88" s="1">
        <v>9.1300572534687804E-2</v>
      </c>
      <c r="L88" s="1">
        <v>9.1311258581296906E-2</v>
      </c>
      <c r="M88" s="1">
        <v>9.1318479166669103E-2</v>
      </c>
      <c r="N88" s="1">
        <v>9.1323357984452805E-2</v>
      </c>
      <c r="O88" s="1">
        <v>9.1326654445157904E-2</v>
      </c>
      <c r="P88" s="1">
        <v>9.1328881727143596E-2</v>
      </c>
      <c r="Q88" s="1">
        <v>9.1330386595289803E-2</v>
      </c>
      <c r="R88" s="1">
        <v>9.1331403356463906E-2</v>
      </c>
      <c r="S88" s="1">
        <v>9.1332090326202903E-2</v>
      </c>
      <c r="T88" s="1">
        <v>9.1332554472626601E-2</v>
      </c>
      <c r="U88" s="1">
        <v>9.1332868069385204E-2</v>
      </c>
      <c r="V88" s="1">
        <v>9.1333079948207593E-2</v>
      </c>
      <c r="W88" s="1">
        <v>9.1333223102096406E-2</v>
      </c>
      <c r="X88" s="1">
        <v>9.1333319822586606E-2</v>
      </c>
      <c r="Y88" s="1">
        <v>9.1333385170789996E-2</v>
      </c>
      <c r="Z88" s="1">
        <v>9.1333429322618606E-2</v>
      </c>
      <c r="AA88" s="1">
        <v>9.1333459153333393E-2</v>
      </c>
      <c r="AB88" s="1">
        <v>9.13334793081369E-2</v>
      </c>
      <c r="AC88" s="1">
        <v>9.1333492925513196E-2</v>
      </c>
      <c r="AD88" s="1">
        <v>9.1333502125946694E-2</v>
      </c>
      <c r="AE88" s="1">
        <v>9.1333508342120007E-2</v>
      </c>
      <c r="AF88" s="1">
        <v>9.1333512542010206E-2</v>
      </c>
      <c r="AG88" s="1">
        <v>9.1333515379620506E-2</v>
      </c>
      <c r="AH88" s="1">
        <v>9.1333517296821098E-2</v>
      </c>
    </row>
    <row r="89" spans="1:34" x14ac:dyDescent="0.25">
      <c r="A89" s="2">
        <v>87</v>
      </c>
      <c r="B89" s="1">
        <v>0.10346085518085001</v>
      </c>
      <c r="C89" s="1">
        <v>0.103993501535668</v>
      </c>
      <c r="D89" s="1">
        <v>0.104354844297052</v>
      </c>
      <c r="E89" s="1">
        <v>0.10459965286383401</v>
      </c>
      <c r="F89" s="1">
        <v>0.10476536215862001</v>
      </c>
      <c r="G89" s="1">
        <v>0.104877462199552</v>
      </c>
      <c r="H89" s="1">
        <v>0.104953265504861</v>
      </c>
      <c r="I89" s="1">
        <v>0.105004510477729</v>
      </c>
      <c r="J89" s="1">
        <v>0.10503914696453601</v>
      </c>
      <c r="K89" s="1">
        <v>0.105062554838998</v>
      </c>
      <c r="L89" s="1">
        <v>0.105078372904024</v>
      </c>
      <c r="M89" s="1">
        <v>0.105089061481085</v>
      </c>
      <c r="N89" s="1">
        <v>0.10509628368333</v>
      </c>
      <c r="O89" s="1">
        <v>0.105101163551169</v>
      </c>
      <c r="P89" s="1">
        <v>0.105104460701991</v>
      </c>
      <c r="Q89" s="1">
        <v>0.105106688441416</v>
      </c>
      <c r="R89" s="1">
        <v>0.105108193614595</v>
      </c>
      <c r="S89" s="1">
        <v>0.105109210580021</v>
      </c>
      <c r="T89" s="1">
        <v>0.105109897686921</v>
      </c>
      <c r="U89" s="1">
        <v>0.105110361925633</v>
      </c>
      <c r="V89" s="1">
        <v>0.105110675584569</v>
      </c>
      <c r="W89" s="1">
        <v>0.10511088750532201</v>
      </c>
      <c r="X89" s="1">
        <v>0.10511103068750401</v>
      </c>
      <c r="Y89" s="1">
        <v>0.105111127427093</v>
      </c>
      <c r="Z89" s="1">
        <v>0.105111192788193</v>
      </c>
      <c r="AA89" s="1">
        <v>0.10511123694873201</v>
      </c>
      <c r="AB89" s="1">
        <v>0.10511126678533</v>
      </c>
      <c r="AC89" s="1">
        <v>0.105111286944107</v>
      </c>
      <c r="AD89" s="1">
        <v>0.10511130056416899</v>
      </c>
      <c r="AE89" s="1">
        <v>0.105111309766416</v>
      </c>
      <c r="AF89" s="1">
        <v>0.105111315983815</v>
      </c>
      <c r="AG89" s="1">
        <v>0.10511132018453299</v>
      </c>
      <c r="AH89" s="1">
        <v>0.105111323022702</v>
      </c>
    </row>
    <row r="90" spans="1:34" x14ac:dyDescent="0.25">
      <c r="A90" s="2">
        <v>88</v>
      </c>
      <c r="B90" s="1">
        <v>0.11932917133078801</v>
      </c>
      <c r="C90" s="1">
        <v>0.12008585951645</v>
      </c>
      <c r="D90" s="1">
        <v>0.12059964788703099</v>
      </c>
      <c r="E90" s="1">
        <v>0.120947947166768</v>
      </c>
      <c r="F90" s="1">
        <v>0.121183804316791</v>
      </c>
      <c r="G90" s="1">
        <v>0.12134340212707299</v>
      </c>
      <c r="H90" s="1">
        <v>0.12145134392630599</v>
      </c>
      <c r="I90" s="1">
        <v>0.121524324462687</v>
      </c>
      <c r="J90" s="1">
        <v>0.121573656185246</v>
      </c>
      <c r="K90" s="1">
        <v>0.121606997229046</v>
      </c>
      <c r="L90" s="1">
        <v>0.121629528583563</v>
      </c>
      <c r="M90" s="1">
        <v>0.12164475385841</v>
      </c>
      <c r="N90" s="1">
        <v>0.121655041658858</v>
      </c>
      <c r="O90" s="1">
        <v>0.12166199296004</v>
      </c>
      <c r="P90" s="1">
        <v>0.12166668974141499</v>
      </c>
      <c r="Q90" s="1">
        <v>0.121669863166701</v>
      </c>
      <c r="R90" s="1">
        <v>0.121672007300829</v>
      </c>
      <c r="S90" s="1">
        <v>0.121673455981754</v>
      </c>
      <c r="T90" s="1">
        <v>0.121674434776411</v>
      </c>
      <c r="U90" s="1">
        <v>0.121675096092552</v>
      </c>
      <c r="V90" s="1">
        <v>0.121675542905519</v>
      </c>
      <c r="W90" s="1">
        <v>0.121675844790713</v>
      </c>
      <c r="X90" s="1">
        <v>0.12167604875656</v>
      </c>
      <c r="Y90" s="1">
        <v>0.12167618656404899</v>
      </c>
      <c r="Z90" s="1">
        <v>0.12167627967226501</v>
      </c>
      <c r="AA90" s="1">
        <v>0.121676342579856</v>
      </c>
      <c r="AB90" s="1">
        <v>0.12167638508270399</v>
      </c>
      <c r="AC90" s="1">
        <v>0.121676413799299</v>
      </c>
      <c r="AD90" s="1">
        <v>0.121676433201358</v>
      </c>
      <c r="AE90" s="1">
        <v>0.12167644631015</v>
      </c>
      <c r="AF90" s="1">
        <v>0.121676455166963</v>
      </c>
      <c r="AG90" s="1">
        <v>0.121676461150974</v>
      </c>
      <c r="AH90" s="1">
        <v>0.121676465194005</v>
      </c>
    </row>
    <row r="91" spans="1:34" x14ac:dyDescent="0.25">
      <c r="A91" s="2">
        <v>89</v>
      </c>
      <c r="B91" s="1">
        <v>0.13538434090849899</v>
      </c>
      <c r="C91" s="1">
        <v>0.136338401680898</v>
      </c>
      <c r="D91" s="1">
        <v>0.13698652600387401</v>
      </c>
      <c r="E91" s="1">
        <v>0.13742603878759199</v>
      </c>
      <c r="F91" s="1">
        <v>0.13772372979078601</v>
      </c>
      <c r="G91" s="1">
        <v>0.13792519940102199</v>
      </c>
      <c r="H91" s="1">
        <v>0.13806147459165699</v>
      </c>
      <c r="I91" s="1">
        <v>0.13815361799847301</v>
      </c>
      <c r="J91" s="1">
        <v>0.13821590591487701</v>
      </c>
      <c r="K91" s="1">
        <v>0.138258004784343</v>
      </c>
      <c r="L91" s="1">
        <v>0.138286455147168</v>
      </c>
      <c r="M91" s="1">
        <v>0.13830568039336399</v>
      </c>
      <c r="N91" s="1">
        <v>0.13831867112257201</v>
      </c>
      <c r="O91" s="1">
        <v>0.13832744880696701</v>
      </c>
      <c r="P91" s="1">
        <v>0.13833337964592399</v>
      </c>
      <c r="Q91" s="1">
        <v>0.13833738688606001</v>
      </c>
      <c r="R91" s="1">
        <v>0.138340094395137</v>
      </c>
      <c r="S91" s="1">
        <v>0.138341923721989</v>
      </c>
      <c r="T91" s="1">
        <v>0.138343159699473</v>
      </c>
      <c r="U91" s="1">
        <v>0.13834399478001499</v>
      </c>
      <c r="V91" s="1">
        <v>0.13834455899574899</v>
      </c>
      <c r="W91" s="1">
        <v>0.138344940203185</v>
      </c>
      <c r="X91" s="1">
        <v>0.13834519776239601</v>
      </c>
      <c r="Y91" s="1">
        <v>0.13834537177973</v>
      </c>
      <c r="Z91" s="1">
        <v>0.138345489352765</v>
      </c>
      <c r="AA91" s="1">
        <v>0.13834556878976101</v>
      </c>
      <c r="AB91" s="1">
        <v>0.13834562246052801</v>
      </c>
      <c r="AC91" s="1">
        <v>0.13834565872260901</v>
      </c>
      <c r="AD91" s="1">
        <v>0.138345683222695</v>
      </c>
      <c r="AE91" s="1">
        <v>0.13834569977591399</v>
      </c>
      <c r="AF91" s="1">
        <v>0.13834571095991799</v>
      </c>
      <c r="AG91" s="1">
        <v>0.13834571851626901</v>
      </c>
      <c r="AH91" s="1">
        <v>0.138345723621636</v>
      </c>
    </row>
    <row r="92" spans="1:34" x14ac:dyDescent="0.25">
      <c r="A92" s="2">
        <v>90</v>
      </c>
      <c r="B92" s="1">
        <v>0.15051134436914801</v>
      </c>
      <c r="C92" s="1">
        <v>0.151601296863351</v>
      </c>
      <c r="D92" s="1">
        <v>0.15234180814923701</v>
      </c>
      <c r="E92" s="1">
        <v>0.15284400375493401</v>
      </c>
      <c r="F92" s="1">
        <v>0.153184165869925</v>
      </c>
      <c r="G92" s="1">
        <v>0.15341438555668699</v>
      </c>
      <c r="H92" s="1">
        <v>0.15357011052641201</v>
      </c>
      <c r="I92" s="1">
        <v>0.15367540643227401</v>
      </c>
      <c r="J92" s="1">
        <v>0.153746585928901</v>
      </c>
      <c r="K92" s="1">
        <v>0.15379469468941201</v>
      </c>
      <c r="L92" s="1">
        <v>0.15382720666174099</v>
      </c>
      <c r="M92" s="1">
        <v>0.15384917658878899</v>
      </c>
      <c r="N92" s="1">
        <v>0.15386402195938301</v>
      </c>
      <c r="O92" s="1">
        <v>0.15387405281597699</v>
      </c>
      <c r="P92" s="1">
        <v>0.153880830394544</v>
      </c>
      <c r="Q92" s="1">
        <v>0.153885409746749</v>
      </c>
      <c r="R92" s="1">
        <v>0.15388850380701299</v>
      </c>
      <c r="S92" s="1">
        <v>0.153890594307486</v>
      </c>
      <c r="T92" s="1">
        <v>0.153892006746149</v>
      </c>
      <c r="U92" s="1">
        <v>0.15389296105170799</v>
      </c>
      <c r="V92" s="1">
        <v>0.15389360582096001</v>
      </c>
      <c r="W92" s="1">
        <v>0.153894041453699</v>
      </c>
      <c r="X92" s="1">
        <v>0.153894335784866</v>
      </c>
      <c r="Y92" s="1">
        <v>0.15389453464681199</v>
      </c>
      <c r="Z92" s="1">
        <v>0.15389466900585799</v>
      </c>
      <c r="AA92" s="1">
        <v>0.15389475978414799</v>
      </c>
      <c r="AB92" s="1">
        <v>0.15389482111754099</v>
      </c>
      <c r="AC92" s="1">
        <v>0.15389486255679499</v>
      </c>
      <c r="AD92" s="1">
        <v>0.153894890554782</v>
      </c>
      <c r="AE92" s="1">
        <v>0.15389490947132001</v>
      </c>
      <c r="AF92" s="1">
        <v>0.15389492225207499</v>
      </c>
      <c r="AG92" s="1">
        <v>0.15389493088725301</v>
      </c>
      <c r="AH92" s="1">
        <v>0.15389493672151799</v>
      </c>
    </row>
    <row r="93" spans="1:34" x14ac:dyDescent="0.25">
      <c r="A93" s="2">
        <v>91</v>
      </c>
      <c r="B93" s="1">
        <v>0.16876063809271</v>
      </c>
      <c r="C93" s="1">
        <v>0.17008905255380699</v>
      </c>
      <c r="D93" s="1">
        <v>0.17099194322369299</v>
      </c>
      <c r="E93" s="1">
        <v>0.17160442870613499</v>
      </c>
      <c r="F93" s="1">
        <v>0.172019372511547</v>
      </c>
      <c r="G93" s="1">
        <v>0.172300239083787</v>
      </c>
      <c r="H93" s="1">
        <v>0.172490238584082</v>
      </c>
      <c r="I93" s="1">
        <v>0.17261871706741799</v>
      </c>
      <c r="J93" s="1">
        <v>0.172705571205577</v>
      </c>
      <c r="K93" s="1">
        <v>0.172764275657845</v>
      </c>
      <c r="L93" s="1">
        <v>0.17280394890989401</v>
      </c>
      <c r="M93" s="1">
        <v>0.17283075838071699</v>
      </c>
      <c r="N93" s="1">
        <v>0.172848874040018</v>
      </c>
      <c r="O93" s="1">
        <v>0.17286111466152301</v>
      </c>
      <c r="P93" s="1">
        <v>0.17286938534868301</v>
      </c>
      <c r="Q93" s="1">
        <v>0.172874973551391</v>
      </c>
      <c r="R93" s="1">
        <v>0.17287874925240401</v>
      </c>
      <c r="S93" s="1">
        <v>0.172881300306025</v>
      </c>
      <c r="T93" s="1">
        <v>0.17288302391697499</v>
      </c>
      <c r="U93" s="1">
        <v>0.17288418846478901</v>
      </c>
      <c r="V93" s="1">
        <v>0.17288497528288499</v>
      </c>
      <c r="W93" s="1">
        <v>0.17288550688981599</v>
      </c>
      <c r="X93" s="1">
        <v>0.17288586606510001</v>
      </c>
      <c r="Y93" s="1">
        <v>0.172886108738359</v>
      </c>
      <c r="Z93" s="1">
        <v>0.17288627269808499</v>
      </c>
      <c r="AA93" s="1">
        <v>0.17288638347577101</v>
      </c>
      <c r="AB93" s="1">
        <v>0.172886458321547</v>
      </c>
      <c r="AC93" s="1">
        <v>0.172886508890299</v>
      </c>
      <c r="AD93" s="1">
        <v>0.172886543056535</v>
      </c>
      <c r="AE93" s="1">
        <v>0.17288656614058401</v>
      </c>
      <c r="AF93" s="1">
        <v>0.172886581737072</v>
      </c>
      <c r="AG93" s="1">
        <v>0.17288659227467101</v>
      </c>
      <c r="AH93" s="1">
        <v>0.172886599394285</v>
      </c>
    </row>
    <row r="94" spans="1:34" x14ac:dyDescent="0.25">
      <c r="A94" s="2">
        <v>92</v>
      </c>
      <c r="B94" s="1">
        <v>0.18562627107488999</v>
      </c>
      <c r="C94" s="1">
        <v>0.18724957229304401</v>
      </c>
      <c r="D94" s="1">
        <v>0.18835353275561501</v>
      </c>
      <c r="E94" s="1">
        <v>0.18910270945490301</v>
      </c>
      <c r="F94" s="1">
        <v>0.189610392137844</v>
      </c>
      <c r="G94" s="1">
        <v>0.18995409282224099</v>
      </c>
      <c r="H94" s="1">
        <v>0.19018662600973299</v>
      </c>
      <c r="I94" s="1">
        <v>0.19034387870056799</v>
      </c>
      <c r="J94" s="1">
        <v>0.19045019062177801</v>
      </c>
      <c r="K94" s="1">
        <v>0.19052204918722601</v>
      </c>
      <c r="L94" s="1">
        <v>0.190570613376811</v>
      </c>
      <c r="M94" s="1">
        <v>0.190603431512779</v>
      </c>
      <c r="N94" s="1">
        <v>0.19062560759178701</v>
      </c>
      <c r="O94" s="1">
        <v>0.19064059192518901</v>
      </c>
      <c r="P94" s="1">
        <v>0.190650716523702</v>
      </c>
      <c r="Q94" s="1">
        <v>0.19065755737095999</v>
      </c>
      <c r="R94" s="1">
        <v>0.190662179439374</v>
      </c>
      <c r="S94" s="1">
        <v>0.19066530234641399</v>
      </c>
      <c r="T94" s="1">
        <v>0.19066741233052201</v>
      </c>
      <c r="U94" s="1">
        <v>0.190668837930179</v>
      </c>
      <c r="V94" s="1">
        <v>0.19066980112649401</v>
      </c>
      <c r="W94" s="1">
        <v>0.19067045190208101</v>
      </c>
      <c r="X94" s="1">
        <v>0.19067089159265899</v>
      </c>
      <c r="Y94" s="1">
        <v>0.190671188665333</v>
      </c>
      <c r="Z94" s="1">
        <v>0.19067138937949099</v>
      </c>
      <c r="AA94" s="1">
        <v>0.190671524989938</v>
      </c>
      <c r="AB94" s="1">
        <v>0.19067161661371201</v>
      </c>
      <c r="AC94" s="1">
        <v>0.19067167851834099</v>
      </c>
      <c r="AD94" s="1">
        <v>0.19067172034354199</v>
      </c>
      <c r="AE94" s="1">
        <v>0.190671748602288</v>
      </c>
      <c r="AF94" s="1">
        <v>0.19067176769500599</v>
      </c>
      <c r="AG94" s="1">
        <v>0.19067178059479301</v>
      </c>
      <c r="AH94" s="1">
        <v>0.190671789310395</v>
      </c>
    </row>
    <row r="95" spans="1:34" x14ac:dyDescent="0.25">
      <c r="A95" s="2">
        <v>93</v>
      </c>
      <c r="B95" s="1">
        <v>0.19392185337619</v>
      </c>
      <c r="C95" s="1">
        <v>0.19568122330374299</v>
      </c>
      <c r="D95" s="1">
        <v>0.19687796506500499</v>
      </c>
      <c r="E95" s="1">
        <v>0.19769021725392399</v>
      </c>
      <c r="F95" s="1">
        <v>0.198240694226858</v>
      </c>
      <c r="G95" s="1">
        <v>0.19861338983631199</v>
      </c>
      <c r="H95" s="1">
        <v>0.198865550351154</v>
      </c>
      <c r="I95" s="1">
        <v>0.199036081039032</v>
      </c>
      <c r="J95" s="1">
        <v>0.19915137186275</v>
      </c>
      <c r="K95" s="1">
        <v>0.199229300473621</v>
      </c>
      <c r="L95" s="1">
        <v>0.19928196744328799</v>
      </c>
      <c r="M95" s="1">
        <v>0.19931755831761799</v>
      </c>
      <c r="N95" s="1">
        <v>0.19934160810482299</v>
      </c>
      <c r="O95" s="1">
        <v>0.19935785854295601</v>
      </c>
      <c r="P95" s="1">
        <v>0.19936883864174201</v>
      </c>
      <c r="Q95" s="1">
        <v>0.19937625753058799</v>
      </c>
      <c r="R95" s="1">
        <v>0.19938127016118401</v>
      </c>
      <c r="S95" s="1">
        <v>0.199384656954013</v>
      </c>
      <c r="T95" s="1">
        <v>0.199386945232742</v>
      </c>
      <c r="U95" s="1">
        <v>0.19938849129661801</v>
      </c>
      <c r="V95" s="1">
        <v>0.19938953588391001</v>
      </c>
      <c r="W95" s="1">
        <v>0.199390241650717</v>
      </c>
      <c r="X95" s="1">
        <v>0.19939071849564699</v>
      </c>
      <c r="Y95" s="1">
        <v>0.19939104067131699</v>
      </c>
      <c r="Z95" s="1">
        <v>0.19939125834606899</v>
      </c>
      <c r="AA95" s="1">
        <v>0.199391405415769</v>
      </c>
      <c r="AB95" s="1">
        <v>0.19939150478186901</v>
      </c>
      <c r="AC95" s="1">
        <v>0.19939157191751899</v>
      </c>
      <c r="AD95" s="1">
        <v>0.199391617277003</v>
      </c>
      <c r="AE95" s="1">
        <v>0.19939164792365099</v>
      </c>
      <c r="AF95" s="1">
        <v>0.19939166862972699</v>
      </c>
      <c r="AG95" s="1">
        <v>0.199391682619564</v>
      </c>
      <c r="AH95" s="1">
        <v>0.199391692071646</v>
      </c>
    </row>
    <row r="96" spans="1:34" x14ac:dyDescent="0.25">
      <c r="A96" s="2">
        <v>94</v>
      </c>
      <c r="B96" s="1">
        <v>0.20263931065982399</v>
      </c>
      <c r="C96" s="1">
        <v>0.204437201078672</v>
      </c>
      <c r="D96" s="1">
        <v>0.20565991483715401</v>
      </c>
      <c r="E96" s="1">
        <v>0.20648968921867999</v>
      </c>
      <c r="F96" s="1">
        <v>0.20705199295593399</v>
      </c>
      <c r="G96" s="1">
        <v>0.20743267366699999</v>
      </c>
      <c r="H96" s="1">
        <v>0.207690226681637</v>
      </c>
      <c r="I96" s="1">
        <v>0.20786439958251701</v>
      </c>
      <c r="J96" s="1">
        <v>0.20798215069088499</v>
      </c>
      <c r="K96" s="1">
        <v>0.20806174132044999</v>
      </c>
      <c r="L96" s="1">
        <v>0.2081155311025</v>
      </c>
      <c r="M96" s="1">
        <v>0.208151880541394</v>
      </c>
      <c r="N96" s="1">
        <v>0.208176442821008</v>
      </c>
      <c r="O96" s="1">
        <v>0.20819303950833501</v>
      </c>
      <c r="P96" s="1">
        <v>0.208204253541724</v>
      </c>
      <c r="Q96" s="1">
        <v>0.20821183048370501</v>
      </c>
      <c r="R96" s="1">
        <v>0.20821694990016301</v>
      </c>
      <c r="S96" s="1">
        <v>0.208220408841231</v>
      </c>
      <c r="T96" s="1">
        <v>0.20822274586592199</v>
      </c>
      <c r="U96" s="1">
        <v>0.20822432486438</v>
      </c>
      <c r="V96" s="1">
        <v>0.208225391703519</v>
      </c>
      <c r="W96" s="1">
        <v>0.208226112504525</v>
      </c>
      <c r="X96" s="1">
        <v>0.20822659950714001</v>
      </c>
      <c r="Y96" s="1">
        <v>0.20822692854573399</v>
      </c>
      <c r="Z96" s="1">
        <v>0.208227150857344</v>
      </c>
      <c r="AA96" s="1">
        <v>0.20822730105988699</v>
      </c>
      <c r="AB96" s="1">
        <v>0.20822740254265701</v>
      </c>
      <c r="AC96" s="1">
        <v>0.208227471108412</v>
      </c>
      <c r="AD96" s="1">
        <v>0.20822751743413101</v>
      </c>
      <c r="AE96" s="1">
        <v>0.208227548733604</v>
      </c>
      <c r="AF96" s="1">
        <v>0.208227569880756</v>
      </c>
      <c r="AG96" s="1">
        <v>0.20822758416859999</v>
      </c>
      <c r="AH96" s="1">
        <v>0.20822759382202699</v>
      </c>
    </row>
    <row r="97" spans="1:34" x14ac:dyDescent="0.25">
      <c r="A97" s="2">
        <v>95</v>
      </c>
      <c r="B97" s="1">
        <v>1</v>
      </c>
      <c r="C97" s="1">
        <v>1</v>
      </c>
      <c r="D97" s="1">
        <v>1</v>
      </c>
      <c r="E97" s="1">
        <v>1</v>
      </c>
      <c r="F97" s="1">
        <v>1</v>
      </c>
      <c r="G97" s="1">
        <v>1</v>
      </c>
      <c r="H97" s="1">
        <v>1</v>
      </c>
      <c r="I97" s="1">
        <v>1</v>
      </c>
      <c r="J97" s="1">
        <v>1</v>
      </c>
      <c r="K97" s="1">
        <v>1</v>
      </c>
      <c r="L97" s="1">
        <v>1</v>
      </c>
      <c r="M97" s="1">
        <v>1</v>
      </c>
      <c r="N97" s="1">
        <v>1</v>
      </c>
      <c r="O97" s="1">
        <v>1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U97" s="1">
        <v>1</v>
      </c>
      <c r="V97" s="1">
        <v>1</v>
      </c>
      <c r="W97" s="1">
        <v>1</v>
      </c>
      <c r="X97" s="1">
        <v>1</v>
      </c>
      <c r="Y97" s="1">
        <v>1</v>
      </c>
      <c r="Z97" s="1">
        <v>1</v>
      </c>
      <c r="AA97" s="1">
        <v>1</v>
      </c>
      <c r="AB97" s="1">
        <v>1</v>
      </c>
      <c r="AC97" s="1">
        <v>1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H98"/>
  <sheetViews>
    <sheetView tabSelected="1" workbookViewId="0">
      <selection activeCell="B1" sqref="B1:B1048576"/>
    </sheetView>
  </sheetViews>
  <sheetFormatPr baseColWidth="10" defaultRowHeight="15" x14ac:dyDescent="0.25"/>
  <sheetData>
    <row r="1" spans="1:34" x14ac:dyDescent="0.25">
      <c r="A1" s="2" t="s">
        <v>0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  <c r="H1" s="2" t="s">
        <v>40</v>
      </c>
      <c r="I1" s="2" t="s">
        <v>41</v>
      </c>
      <c r="J1" s="2" t="s">
        <v>42</v>
      </c>
      <c r="K1" s="2" t="s">
        <v>43</v>
      </c>
      <c r="L1" s="2" t="s">
        <v>44</v>
      </c>
      <c r="M1" s="2" t="s">
        <v>45</v>
      </c>
      <c r="N1" s="2" t="s">
        <v>46</v>
      </c>
      <c r="O1" s="2" t="s">
        <v>47</v>
      </c>
      <c r="P1" s="2" t="s">
        <v>48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2" t="s">
        <v>59</v>
      </c>
      <c r="AB1" s="2" t="s">
        <v>60</v>
      </c>
      <c r="AC1" s="2" t="s">
        <v>61</v>
      </c>
      <c r="AD1" s="2" t="s">
        <v>62</v>
      </c>
      <c r="AE1" s="2" t="s">
        <v>63</v>
      </c>
      <c r="AF1" s="2" t="s">
        <v>64</v>
      </c>
      <c r="AG1" s="2" t="s">
        <v>65</v>
      </c>
      <c r="AH1" s="2" t="s">
        <v>66</v>
      </c>
    </row>
    <row r="2" spans="1:34" x14ac:dyDescent="0.25">
      <c r="A2">
        <f>+Probs_Hombres!A2</f>
        <v>0</v>
      </c>
      <c r="B2">
        <v>100000</v>
      </c>
      <c r="C2">
        <v>100000</v>
      </c>
      <c r="D2">
        <v>100000</v>
      </c>
      <c r="E2">
        <v>100000</v>
      </c>
      <c r="F2">
        <v>100000</v>
      </c>
      <c r="G2">
        <v>100000</v>
      </c>
      <c r="H2">
        <v>100000</v>
      </c>
      <c r="I2">
        <v>100000</v>
      </c>
      <c r="J2">
        <v>100000</v>
      </c>
      <c r="K2">
        <v>100000</v>
      </c>
      <c r="L2">
        <v>100000</v>
      </c>
      <c r="M2">
        <v>100000</v>
      </c>
      <c r="N2">
        <v>100000</v>
      </c>
      <c r="O2">
        <v>100000</v>
      </c>
      <c r="P2">
        <v>100000</v>
      </c>
      <c r="Q2">
        <v>100000</v>
      </c>
      <c r="R2">
        <v>100000</v>
      </c>
      <c r="S2">
        <v>100000</v>
      </c>
      <c r="T2">
        <v>100000</v>
      </c>
      <c r="U2">
        <v>100000</v>
      </c>
      <c r="V2">
        <v>100000</v>
      </c>
      <c r="W2">
        <v>100000</v>
      </c>
      <c r="X2">
        <v>100000</v>
      </c>
      <c r="Y2">
        <v>100000</v>
      </c>
      <c r="Z2">
        <v>100000</v>
      </c>
      <c r="AA2">
        <v>100000</v>
      </c>
      <c r="AB2">
        <v>100000</v>
      </c>
      <c r="AC2">
        <v>100000</v>
      </c>
      <c r="AD2">
        <v>100000</v>
      </c>
      <c r="AE2">
        <v>100000</v>
      </c>
      <c r="AF2">
        <v>100000</v>
      </c>
      <c r="AG2">
        <v>100000</v>
      </c>
      <c r="AH2">
        <v>100000</v>
      </c>
    </row>
    <row r="3" spans="1:34" x14ac:dyDescent="0.25">
      <c r="A3">
        <f>+Probs_Hombres!A3</f>
        <v>1</v>
      </c>
      <c r="B3">
        <f>+B2*(1-Probs_Mujeres!B2)</f>
        <v>99309.092711901161</v>
      </c>
      <c r="C3">
        <f>+C2*(1-Probs_Mujeres!C2)</f>
        <v>99312.886172792161</v>
      </c>
      <c r="D3">
        <f>+D2*(1-Probs_Mujeres!D2)</f>
        <v>99315.437426846838</v>
      </c>
      <c r="E3">
        <f>+E2*(1-Probs_Mujeres!E2)</f>
        <v>99317.155807934556</v>
      </c>
      <c r="F3">
        <f>+F2*(1-Probs_Mujeres!F2)</f>
        <v>99318.314379439325</v>
      </c>
      <c r="G3">
        <f>+G2*(1-Probs_Mujeres!G2)</f>
        <v>99319.09604655506</v>
      </c>
      <c r="H3">
        <f>+H2*(1-Probs_Mujeres!H2)</f>
        <v>99319.623665746505</v>
      </c>
      <c r="I3">
        <f>+I2*(1-Probs_Mujeres!I2)</f>
        <v>99319.979915259246</v>
      </c>
      <c r="J3">
        <f>+J2*(1-Probs_Mujeres!J2)</f>
        <v>99320.22050613485</v>
      </c>
      <c r="K3">
        <f>+K2*(1-Probs_Mujeres!K2)</f>
        <v>99320.383010723977</v>
      </c>
      <c r="L3">
        <f>+L2*(1-Probs_Mujeres!L2)</f>
        <v>99320.49278326791</v>
      </c>
      <c r="M3">
        <f>+M2*(1-Probs_Mujeres!M2)</f>
        <v>99320.566939891709</v>
      </c>
      <c r="N3">
        <f>+N2*(1-Probs_Mujeres!N2)</f>
        <v>99320.617038443146</v>
      </c>
      <c r="O3">
        <f>+O2*(1-Probs_Mujeres!O2)</f>
        <v>99320.650884901057</v>
      </c>
      <c r="P3">
        <f>+P2*(1-Probs_Mujeres!P2)</f>
        <v>99320.673751941256</v>
      </c>
      <c r="Q3">
        <f>+Q2*(1-Probs_Mujeres!Q2)</f>
        <v>99320.689201374262</v>
      </c>
      <c r="R3">
        <f>+R2*(1-Probs_Mujeres!R2)</f>
        <v>99320.699639417566</v>
      </c>
      <c r="S3">
        <f>+S2*(1-Probs_Mujeres!S2)</f>
        <v>99320.706691677609</v>
      </c>
      <c r="T3">
        <f>+T2*(1-Probs_Mujeres!T2)</f>
        <v>99320.711456419158</v>
      </c>
      <c r="U3">
        <f>+U2*(1-Probs_Mujeres!U2)</f>
        <v>99320.714675646173</v>
      </c>
      <c r="V3">
        <f>+V2*(1-Probs_Mujeres!V2)</f>
        <v>99320.716850673314</v>
      </c>
      <c r="W3">
        <f>+W2*(1-Probs_Mujeres!W2)</f>
        <v>99320.71832020281</v>
      </c>
      <c r="X3">
        <f>+X2*(1-Probs_Mujeres!X2)</f>
        <v>99320.719313072666</v>
      </c>
      <c r="Y3">
        <f>+Y2*(1-Probs_Mujeres!Y2)</f>
        <v>99320.719983893578</v>
      </c>
      <c r="Z3">
        <f>+Z2*(1-Probs_Mujeres!Z2)</f>
        <v>99320.72043712606</v>
      </c>
      <c r="AA3">
        <f>+AA2*(1-Probs_Mujeres!AA2)</f>
        <v>99320.720743347498</v>
      </c>
      <c r="AB3">
        <f>+AB2*(1-Probs_Mujeres!AB2)</f>
        <v>99320.720950242598</v>
      </c>
      <c r="AC3">
        <f>+AC2*(1-Probs_Mujeres!AC2)</f>
        <v>99320.721090028994</v>
      </c>
      <c r="AD3">
        <f>+AD2*(1-Probs_Mujeres!AD2)</f>
        <v>99320.72118447414</v>
      </c>
      <c r="AE3">
        <f>+AE2*(1-Probs_Mujeres!AE2)</f>
        <v>99320.721248284972</v>
      </c>
      <c r="AF3">
        <f>+AF2*(1-Probs_Mujeres!AF2)</f>
        <v>99320.721291398047</v>
      </c>
      <c r="AG3">
        <f>+AG2*(1-Probs_Mujeres!AG2)</f>
        <v>99320.721320526936</v>
      </c>
      <c r="AH3">
        <f>+AH2*(1-Probs_Mujeres!AH2)</f>
        <v>99320.721340207558</v>
      </c>
    </row>
    <row r="4" spans="1:34" x14ac:dyDescent="0.25">
      <c r="A4">
        <f>+Probs_Hombres!A4</f>
        <v>2</v>
      </c>
      <c r="B4">
        <f>+B3*(1-Probs_Mujeres!B3)</f>
        <v>99052.591708671971</v>
      </c>
      <c r="C4">
        <f>+C3*(1-Probs_Mujeres!C3)</f>
        <v>99058.607543832171</v>
      </c>
      <c r="D4">
        <f>+D3*(1-Probs_Mujeres!D3)</f>
        <v>99062.649455227453</v>
      </c>
      <c r="E4">
        <f>+E3*(1-Probs_Mujeres!E3)</f>
        <v>99065.370052942453</v>
      </c>
      <c r="F4">
        <f>+F3*(1-Probs_Mujeres!F3)</f>
        <v>99067.203520103722</v>
      </c>
      <c r="G4">
        <f>+G3*(1-Probs_Mujeres!G3)</f>
        <v>99068.440152944968</v>
      </c>
      <c r="H4">
        <f>+H3*(1-Probs_Mujeres!H3)</f>
        <v>99069.27469995743</v>
      </c>
      <c r="I4">
        <f>+I3*(1-Probs_Mujeres!I3)</f>
        <v>99069.838109999109</v>
      </c>
      <c r="J4">
        <f>+J3*(1-Probs_Mujeres!J3)</f>
        <v>99070.218569980119</v>
      </c>
      <c r="K4">
        <f>+K3*(1-Probs_Mujeres!K3)</f>
        <v>99070.475531514239</v>
      </c>
      <c r="L4">
        <f>+L3*(1-Probs_Mujeres!L3)</f>
        <v>99070.649102745156</v>
      </c>
      <c r="M4">
        <f>+M3*(1-Probs_Mujeres!M3)</f>
        <v>99070.766355075742</v>
      </c>
      <c r="N4">
        <f>+N3*(1-Probs_Mujeres!N3)</f>
        <v>99070.845566582066</v>
      </c>
      <c r="O4">
        <f>+O3*(1-Probs_Mujeres!O3)</f>
        <v>99070.899080978634</v>
      </c>
      <c r="P4">
        <f>+P3*(1-Probs_Mujeres!P3)</f>
        <v>99070.935235574696</v>
      </c>
      <c r="Q4">
        <f>+Q3*(1-Probs_Mujeres!Q3)</f>
        <v>99070.959662201858</v>
      </c>
      <c r="R4">
        <f>+R3*(1-Probs_Mujeres!R3)</f>
        <v>99070.976165406886</v>
      </c>
      <c r="S4">
        <f>+S3*(1-Probs_Mujeres!S3)</f>
        <v>99070.987315444509</v>
      </c>
      <c r="T4">
        <f>+T3*(1-Probs_Mujeres!T3)</f>
        <v>99070.994848767019</v>
      </c>
      <c r="U4">
        <f>+U3*(1-Probs_Mujeres!U3)</f>
        <v>99070.999938538385</v>
      </c>
      <c r="V4">
        <f>+V3*(1-Probs_Mujeres!V3)</f>
        <v>99071.003377370595</v>
      </c>
      <c r="W4">
        <f>+W3*(1-Probs_Mujeres!W3)</f>
        <v>99071.005700772628</v>
      </c>
      <c r="X4">
        <f>+X3*(1-Probs_Mujeres!X3)</f>
        <v>99071.007270550544</v>
      </c>
      <c r="Y4">
        <f>+Y3*(1-Probs_Mujeres!Y3)</f>
        <v>99071.008331152363</v>
      </c>
      <c r="Z4">
        <f>+Z3*(1-Probs_Mujeres!Z3)</f>
        <v>99071.009047735744</v>
      </c>
      <c r="AA4">
        <f>+AA3*(1-Probs_Mujeres!AA3)</f>
        <v>99071.00953188719</v>
      </c>
      <c r="AB4">
        <f>+AB3*(1-Probs_Mujeres!AB3)</f>
        <v>99071.009858998703</v>
      </c>
      <c r="AC4">
        <f>+AC3*(1-Probs_Mujeres!AC3)</f>
        <v>99071.010080007982</v>
      </c>
      <c r="AD4">
        <f>+AD3*(1-Probs_Mujeres!AD3)</f>
        <v>99071.010229330466</v>
      </c>
      <c r="AE4">
        <f>+AE3*(1-Probs_Mujeres!AE3)</f>
        <v>99071.010330218574</v>
      </c>
      <c r="AF4">
        <f>+AF3*(1-Probs_Mujeres!AF3)</f>
        <v>99071.010398382496</v>
      </c>
      <c r="AG4">
        <f>+AG3*(1-Probs_Mujeres!AG3)</f>
        <v>99071.010444436717</v>
      </c>
      <c r="AH4">
        <f>+AH3*(1-Probs_Mujeres!AH3)</f>
        <v>99071.010475552757</v>
      </c>
    </row>
    <row r="5" spans="1:34" x14ac:dyDescent="0.25">
      <c r="A5">
        <f>+Probs_Hombres!A5</f>
        <v>3</v>
      </c>
      <c r="B5">
        <f>+B4*(1-Probs_Mujeres!B4)</f>
        <v>98974.69939288075</v>
      </c>
      <c r="C5">
        <f>+C4*(1-Probs_Mujeres!C4)</f>
        <v>98981.67447862406</v>
      </c>
      <c r="D5">
        <f>+D4*(1-Probs_Mujeres!D4)</f>
        <v>98986.357821443657</v>
      </c>
      <c r="E5">
        <f>+E4*(1-Probs_Mujeres!E4)</f>
        <v>98989.508774424918</v>
      </c>
      <c r="F5">
        <f>+F4*(1-Probs_Mujeres!F4)</f>
        <v>98991.631635556987</v>
      </c>
      <c r="G5">
        <f>+G4*(1-Probs_Mujeres!G4)</f>
        <v>98993.063170987109</v>
      </c>
      <c r="H5">
        <f>+H4*(1-Probs_Mujeres!H4)</f>
        <v>98994.029118051272</v>
      </c>
      <c r="I5">
        <f>+I4*(1-Probs_Mujeres!I4)</f>
        <v>98994.681177810475</v>
      </c>
      <c r="J5">
        <f>+J4*(1-Probs_Mujeres!J4)</f>
        <v>98995.121474058658</v>
      </c>
      <c r="K5">
        <f>+K4*(1-Probs_Mujeres!K4)</f>
        <v>98995.418836428318</v>
      </c>
      <c r="L5">
        <f>+L4*(1-Probs_Mujeres!L4)</f>
        <v>98995.619691777509</v>
      </c>
      <c r="M5">
        <f>+M4*(1-Probs_Mujeres!M4)</f>
        <v>98995.755372728396</v>
      </c>
      <c r="N5">
        <f>+N4*(1-Probs_Mujeres!N4)</f>
        <v>98995.847032777121</v>
      </c>
      <c r="O5">
        <f>+O4*(1-Probs_Mujeres!O4)</f>
        <v>98995.908956730113</v>
      </c>
      <c r="P5">
        <f>+P4*(1-Probs_Mujeres!P4)</f>
        <v>98995.950792619406</v>
      </c>
      <c r="Q5">
        <f>+Q4*(1-Probs_Mujeres!Q4)</f>
        <v>98995.979057507677</v>
      </c>
      <c r="R5">
        <f>+R4*(1-Probs_Mujeres!R4)</f>
        <v>98995.998153881243</v>
      </c>
      <c r="S5">
        <f>+S4*(1-Probs_Mujeres!S4)</f>
        <v>98996.011055914394</v>
      </c>
      <c r="T5">
        <f>+T4*(1-Probs_Mujeres!T4)</f>
        <v>98996.019772930536</v>
      </c>
      <c r="U5">
        <f>+U4*(1-Probs_Mujeres!U4)</f>
        <v>98996.025662441083</v>
      </c>
      <c r="V5">
        <f>+V4*(1-Probs_Mujeres!V4)</f>
        <v>98996.029641603571</v>
      </c>
      <c r="W5">
        <f>+W4*(1-Probs_Mujeres!W4)</f>
        <v>98996.032330071699</v>
      </c>
      <c r="X5">
        <f>+X4*(1-Probs_Mujeres!X4)</f>
        <v>98996.034146501537</v>
      </c>
      <c r="Y5">
        <f>+Y4*(1-Probs_Mujeres!Y4)</f>
        <v>98996.035373750594</v>
      </c>
      <c r="Z5">
        <f>+Z4*(1-Probs_Mujeres!Z4)</f>
        <v>98996.036202927164</v>
      </c>
      <c r="AA5">
        <f>+AA4*(1-Probs_Mujeres!AA4)</f>
        <v>98996.036763150871</v>
      </c>
      <c r="AB5">
        <f>+AB4*(1-Probs_Mujeres!AB4)</f>
        <v>98996.037141659734</v>
      </c>
      <c r="AC5">
        <f>+AC4*(1-Probs_Mujeres!AC4)</f>
        <v>98996.037397395063</v>
      </c>
      <c r="AD5">
        <f>+AD4*(1-Probs_Mujeres!AD4)</f>
        <v>98996.037570179818</v>
      </c>
      <c r="AE5">
        <f>+AE4*(1-Probs_Mujeres!AE4)</f>
        <v>98996.037686919939</v>
      </c>
      <c r="AF5">
        <f>+AF4*(1-Probs_Mujeres!AF4)</f>
        <v>98996.037765794114</v>
      </c>
      <c r="AG5">
        <f>+AG4*(1-Probs_Mujeres!AG4)</f>
        <v>98996.037819084595</v>
      </c>
      <c r="AH5">
        <f>+AH4*(1-Probs_Mujeres!AH4)</f>
        <v>98996.037855089729</v>
      </c>
    </row>
    <row r="6" spans="1:34" x14ac:dyDescent="0.25">
      <c r="A6">
        <f>+Probs_Hombres!A6</f>
        <v>4</v>
      </c>
      <c r="B6">
        <f>+B5*(1-Probs_Mujeres!B5)</f>
        <v>98935.2913826312</v>
      </c>
      <c r="C6">
        <f>+C5*(1-Probs_Mujeres!C5)</f>
        <v>98942.695968582018</v>
      </c>
      <c r="D6">
        <f>+D5*(1-Probs_Mujeres!D5)</f>
        <v>98947.66685773537</v>
      </c>
      <c r="E6">
        <f>+E5*(1-Probs_Mujeres!E5)</f>
        <v>98951.010892010192</v>
      </c>
      <c r="F6">
        <f>+F5*(1-Probs_Mujeres!F5)</f>
        <v>98953.263663171354</v>
      </c>
      <c r="G6">
        <f>+G5*(1-Probs_Mujeres!G5)</f>
        <v>98954.782723783544</v>
      </c>
      <c r="H6">
        <f>+H5*(1-Probs_Mujeres!H5)</f>
        <v>98955.807693746974</v>
      </c>
      <c r="I6">
        <f>+I5*(1-Probs_Mujeres!I5)</f>
        <v>98956.499580396267</v>
      </c>
      <c r="J6">
        <f>+J5*(1-Probs_Mujeres!J5)</f>
        <v>98956.966761861811</v>
      </c>
      <c r="K6">
        <f>+K5*(1-Probs_Mujeres!K5)</f>
        <v>98957.282278267841</v>
      </c>
      <c r="L6">
        <f>+L5*(1-Probs_Mujeres!L5)</f>
        <v>98957.495394326732</v>
      </c>
      <c r="M6">
        <f>+M5*(1-Probs_Mujeres!M5)</f>
        <v>98957.639356871601</v>
      </c>
      <c r="N6">
        <f>+N5*(1-Probs_Mujeres!N5)</f>
        <v>98957.736611275541</v>
      </c>
      <c r="O6">
        <f>+O5*(1-Probs_Mujeres!O5)</f>
        <v>98957.802314531116</v>
      </c>
      <c r="P6">
        <f>+P5*(1-Probs_Mujeres!P5)</f>
        <v>98957.846703653951</v>
      </c>
      <c r="Q6">
        <f>+Q5*(1-Probs_Mujeres!Q5)</f>
        <v>98957.876693510319</v>
      </c>
      <c r="R6">
        <f>+R5*(1-Probs_Mujeres!R5)</f>
        <v>98957.896955295815</v>
      </c>
      <c r="S6">
        <f>+S5*(1-Probs_Mujeres!S5)</f>
        <v>98957.91064470679</v>
      </c>
      <c r="T6">
        <f>+T5*(1-Probs_Mujeres!T5)</f>
        <v>98957.919893697035</v>
      </c>
      <c r="U6">
        <f>+U5*(1-Probs_Mujeres!U5)</f>
        <v>98957.926142625918</v>
      </c>
      <c r="V6">
        <f>+V5*(1-Probs_Mujeres!V5)</f>
        <v>98957.930364623593</v>
      </c>
      <c r="W6">
        <f>+W5*(1-Probs_Mujeres!W5)</f>
        <v>98957.933217159807</v>
      </c>
      <c r="X6">
        <f>+X5*(1-Probs_Mujeres!X5)</f>
        <v>98957.935144440053</v>
      </c>
      <c r="Y6">
        <f>+Y5*(1-Probs_Mujeres!Y5)</f>
        <v>98957.936446583815</v>
      </c>
      <c r="Z6">
        <f>+Z5*(1-Probs_Mujeres!Z5)</f>
        <v>98957.93732636208</v>
      </c>
      <c r="AA6">
        <f>+AA5*(1-Probs_Mujeres!AA5)</f>
        <v>98957.937920774246</v>
      </c>
      <c r="AB6">
        <f>+AB5*(1-Probs_Mujeres!AB5)</f>
        <v>98957.93832238215</v>
      </c>
      <c r="AC6">
        <f>+AC5*(1-Probs_Mujeres!AC5)</f>
        <v>98957.938593724088</v>
      </c>
      <c r="AD6">
        <f>+AD5*(1-Probs_Mujeres!AD5)</f>
        <v>98957.938777053278</v>
      </c>
      <c r="AE6">
        <f>+AE5*(1-Probs_Mujeres!AE5)</f>
        <v>98957.938900917623</v>
      </c>
      <c r="AF6">
        <f>+AF5*(1-Probs_Mujeres!AF5)</f>
        <v>98957.938984605207</v>
      </c>
      <c r="AG6">
        <f>+AG5*(1-Probs_Mujeres!AG5)</f>
        <v>98957.939041147809</v>
      </c>
      <c r="AH6">
        <f>+AH5*(1-Probs_Mujeres!AH5)</f>
        <v>98957.93907935021</v>
      </c>
    </row>
    <row r="7" spans="1:34" x14ac:dyDescent="0.25">
      <c r="A7">
        <f>+Probs_Hombres!A7</f>
        <v>5</v>
      </c>
      <c r="B7">
        <f>+B6*(1-Probs_Mujeres!B6)</f>
        <v>98895.758998931837</v>
      </c>
      <c r="C7">
        <f>+C6*(1-Probs_Mujeres!C6)</f>
        <v>98903.427449657844</v>
      </c>
      <c r="D7">
        <f>+D6*(1-Probs_Mujeres!D6)</f>
        <v>98908.575631447602</v>
      </c>
      <c r="E7">
        <f>+E6*(1-Probs_Mujeres!E6)</f>
        <v>98912.039004090606</v>
      </c>
      <c r="F7">
        <f>+F6*(1-Probs_Mujeres!F6)</f>
        <v>98914.372201284263</v>
      </c>
      <c r="G7">
        <f>+G6*(1-Probs_Mujeres!G6)</f>
        <v>98915.94550810568</v>
      </c>
      <c r="H7">
        <f>+H6*(1-Probs_Mujeres!H6)</f>
        <v>98917.007086643935</v>
      </c>
      <c r="I7">
        <f>+I6*(1-Probs_Mujeres!I6)</f>
        <v>98917.723688193815</v>
      </c>
      <c r="J7">
        <f>+J6*(1-Probs_Mujeres!J6)</f>
        <v>98918.20755921556</v>
      </c>
      <c r="K7">
        <f>+K6*(1-Probs_Mujeres!K6)</f>
        <v>98918.534347724519</v>
      </c>
      <c r="L7">
        <f>+L6*(1-Probs_Mujeres!L6)</f>
        <v>98918.755077825292</v>
      </c>
      <c r="M7">
        <f>+M6*(1-Probs_Mujeres!M6)</f>
        <v>98918.904183878709</v>
      </c>
      <c r="N7">
        <f>+N6*(1-Probs_Mujeres!N6)</f>
        <v>98919.004913056677</v>
      </c>
      <c r="O7">
        <f>+O6*(1-Probs_Mujeres!O6)</f>
        <v>98919.072963831379</v>
      </c>
      <c r="P7">
        <f>+P6*(1-Probs_Mujeres!P6)</f>
        <v>98919.118938950487</v>
      </c>
      <c r="Q7">
        <f>+Q6*(1-Probs_Mujeres!Q6)</f>
        <v>98919.15000033172</v>
      </c>
      <c r="R7">
        <f>+R6*(1-Probs_Mujeres!R6)</f>
        <v>98919.170986064768</v>
      </c>
      <c r="S7">
        <f>+S6*(1-Probs_Mujeres!S6)</f>
        <v>98919.185164595474</v>
      </c>
      <c r="T7">
        <f>+T6*(1-Probs_Mujeres!T6)</f>
        <v>98919.194744050692</v>
      </c>
      <c r="U7">
        <f>+U6*(1-Probs_Mujeres!U6)</f>
        <v>98919.201216253088</v>
      </c>
      <c r="V7">
        <f>+V6*(1-Probs_Mujeres!V6)</f>
        <v>98919.205589102348</v>
      </c>
      <c r="W7">
        <f>+W6*(1-Probs_Mujeres!W6)</f>
        <v>98919.208543559478</v>
      </c>
      <c r="X7">
        <f>+X6*(1-Probs_Mujeres!X6)</f>
        <v>98919.210539701322</v>
      </c>
      <c r="Y7">
        <f>+Y6*(1-Probs_Mujeres!Y6)</f>
        <v>98919.211888370613</v>
      </c>
      <c r="Z7">
        <f>+Z6*(1-Probs_Mujeres!Z6)</f>
        <v>98919.212799583329</v>
      </c>
      <c r="AA7">
        <f>+AA6*(1-Probs_Mujeres!AA6)</f>
        <v>98919.213415233811</v>
      </c>
      <c r="AB7">
        <f>+AB6*(1-Probs_Mujeres!AB6)</f>
        <v>98919.21383119114</v>
      </c>
      <c r="AC7">
        <f>+AC6*(1-Probs_Mujeres!AC6)</f>
        <v>98919.214112228117</v>
      </c>
      <c r="AD7">
        <f>+AD6*(1-Probs_Mujeres!AD6)</f>
        <v>98919.214302107648</v>
      </c>
      <c r="AE7">
        <f>+AE6*(1-Probs_Mujeres!AE6)</f>
        <v>98919.214430397667</v>
      </c>
      <c r="AF7">
        <f>+AF6*(1-Probs_Mujeres!AF6)</f>
        <v>98919.214517075394</v>
      </c>
      <c r="AG7">
        <f>+AG6*(1-Probs_Mujeres!AG6)</f>
        <v>98919.214575638267</v>
      </c>
      <c r="AH7">
        <f>+AH6*(1-Probs_Mujeres!AH6)</f>
        <v>98919.214615205638</v>
      </c>
    </row>
    <row r="8" spans="1:34" x14ac:dyDescent="0.25">
      <c r="A8">
        <f>+Probs_Hombres!A8</f>
        <v>6</v>
      </c>
      <c r="B8">
        <f>+B7*(1-Probs_Mujeres!B7)</f>
        <v>98854.466791575338</v>
      </c>
      <c r="C8">
        <f>+C7*(1-Probs_Mujeres!C7)</f>
        <v>98862.342241680046</v>
      </c>
      <c r="D8">
        <f>+D7*(1-Probs_Mujeres!D7)</f>
        <v>98867.629706524269</v>
      </c>
      <c r="E8">
        <f>+E7*(1-Probs_Mujeres!E7)</f>
        <v>98871.18692315543</v>
      </c>
      <c r="F8">
        <f>+F7*(1-Probs_Mujeres!F7)</f>
        <v>98873.583406095451</v>
      </c>
      <c r="G8">
        <f>+G7*(1-Probs_Mujeres!G7)</f>
        <v>98875.199417036696</v>
      </c>
      <c r="H8">
        <f>+H7*(1-Probs_Mujeres!H7)</f>
        <v>98876.289823429455</v>
      </c>
      <c r="I8">
        <f>+I7*(1-Probs_Mujeres!I7)</f>
        <v>98877.025890929246</v>
      </c>
      <c r="J8">
        <f>+J7*(1-Probs_Mujeres!J7)</f>
        <v>98877.522908763174</v>
      </c>
      <c r="K8">
        <f>+K7*(1-Probs_Mujeres!K7)</f>
        <v>98877.858577424864</v>
      </c>
      <c r="L8">
        <f>+L7*(1-Probs_Mujeres!L7)</f>
        <v>98878.085306232693</v>
      </c>
      <c r="M8">
        <f>+M7*(1-Probs_Mujeres!M7)</f>
        <v>98878.238464758208</v>
      </c>
      <c r="N8">
        <f>+N7*(1-Probs_Mujeres!N7)</f>
        <v>98878.341931721661</v>
      </c>
      <c r="O8">
        <f>+O7*(1-Probs_Mujeres!O7)</f>
        <v>98878.411832149475</v>
      </c>
      <c r="P8">
        <f>+P7*(1-Probs_Mujeres!P7)</f>
        <v>98878.459056920095</v>
      </c>
      <c r="Q8">
        <f>+Q7*(1-Probs_Mujeres!Q7)</f>
        <v>98878.49096259354</v>
      </c>
      <c r="R8">
        <f>+R7*(1-Probs_Mujeres!R7)</f>
        <v>98878.512518753778</v>
      </c>
      <c r="S8">
        <f>+S7*(1-Probs_Mujeres!S7)</f>
        <v>98878.527082682966</v>
      </c>
      <c r="T8">
        <f>+T7*(1-Probs_Mujeres!T7)</f>
        <v>98878.536922526473</v>
      </c>
      <c r="U8">
        <f>+U7*(1-Probs_Mujeres!U7)</f>
        <v>98878.54357065646</v>
      </c>
      <c r="V8">
        <f>+V7*(1-Probs_Mujeres!V7)</f>
        <v>98878.548062368864</v>
      </c>
      <c r="W8">
        <f>+W7*(1-Probs_Mujeres!W7)</f>
        <v>98878.551097134405</v>
      </c>
      <c r="X8">
        <f>+X7*(1-Probs_Mujeres!X7)</f>
        <v>98878.553147535655</v>
      </c>
      <c r="Y8">
        <f>+Y7*(1-Probs_Mujeres!Y7)</f>
        <v>98878.554532864699</v>
      </c>
      <c r="Z8">
        <f>+Z7*(1-Probs_Mujeres!Z7)</f>
        <v>98878.555468846142</v>
      </c>
      <c r="AA8">
        <f>+AA7*(1-Probs_Mujeres!AA7)</f>
        <v>98878.556101231341</v>
      </c>
      <c r="AB8">
        <f>+AB7*(1-Probs_Mujeres!AB7)</f>
        <v>98878.556528495305</v>
      </c>
      <c r="AC8">
        <f>+AC7*(1-Probs_Mujeres!AC7)</f>
        <v>98878.556817171469</v>
      </c>
      <c r="AD8">
        <f>+AD7*(1-Probs_Mujeres!AD7)</f>
        <v>98878.557012212346</v>
      </c>
      <c r="AE8">
        <f>+AE7*(1-Probs_Mujeres!AE7)</f>
        <v>98878.557143989572</v>
      </c>
      <c r="AF8">
        <f>+AF7*(1-Probs_Mujeres!AF7)</f>
        <v>98878.557233023384</v>
      </c>
      <c r="AG8">
        <f>+AG7*(1-Probs_Mujeres!AG7)</f>
        <v>98878.557293178121</v>
      </c>
      <c r="AH8">
        <f>+AH7*(1-Probs_Mujeres!AH7)</f>
        <v>98878.557333821023</v>
      </c>
    </row>
    <row r="9" spans="1:34" x14ac:dyDescent="0.25">
      <c r="A9">
        <f>+Probs_Hombres!A9</f>
        <v>7</v>
      </c>
      <c r="B9">
        <f>+B8*(1-Probs_Mujeres!B8)</f>
        <v>98816.778793518242</v>
      </c>
      <c r="C9">
        <f>+C8*(1-Probs_Mujeres!C8)</f>
        <v>98824.837641114398</v>
      </c>
      <c r="D9">
        <f>+D8*(1-Probs_Mujeres!D8)</f>
        <v>98830.248523929316</v>
      </c>
      <c r="E9">
        <f>+E8*(1-Probs_Mujeres!E8)</f>
        <v>98833.888902429855</v>
      </c>
      <c r="F9">
        <f>+F8*(1-Probs_Mujeres!F8)</f>
        <v>98836.341470681567</v>
      </c>
      <c r="G9">
        <f>+G8*(1-Probs_Mujeres!G8)</f>
        <v>98837.995328512596</v>
      </c>
      <c r="H9">
        <f>+H8*(1-Probs_Mujeres!H8)</f>
        <v>98839.111284519982</v>
      </c>
      <c r="I9">
        <f>+I8*(1-Probs_Mujeres!I8)</f>
        <v>98839.864604656541</v>
      </c>
      <c r="J9">
        <f>+J8*(1-Probs_Mujeres!J8)</f>
        <v>98840.373274628917</v>
      </c>
      <c r="K9">
        <f>+K8*(1-Probs_Mujeres!K8)</f>
        <v>98840.716813915118</v>
      </c>
      <c r="L9">
        <f>+L8*(1-Probs_Mujeres!L8)</f>
        <v>98840.948859504686</v>
      </c>
      <c r="M9">
        <f>+M8*(1-Probs_Mujeres!M8)</f>
        <v>98841.105609835999</v>
      </c>
      <c r="N9">
        <f>+N8*(1-Probs_Mujeres!N8)</f>
        <v>98841.211503372295</v>
      </c>
      <c r="O9">
        <f>+O8*(1-Probs_Mujeres!O8)</f>
        <v>98841.283043200179</v>
      </c>
      <c r="P9">
        <f>+P8*(1-Probs_Mujeres!P8)</f>
        <v>98841.331375573704</v>
      </c>
      <c r="Q9">
        <f>+Q8*(1-Probs_Mujeres!Q8)</f>
        <v>98841.36402956878</v>
      </c>
      <c r="R9">
        <f>+R8*(1-Probs_Mujeres!R8)</f>
        <v>98841.386091316075</v>
      </c>
      <c r="S9">
        <f>+S8*(1-Probs_Mujeres!S8)</f>
        <v>98841.400996835859</v>
      </c>
      <c r="T9">
        <f>+T8*(1-Probs_Mujeres!T8)</f>
        <v>98841.411067469598</v>
      </c>
      <c r="U9">
        <f>+U8*(1-Probs_Mujeres!U8)</f>
        <v>98841.417871529717</v>
      </c>
      <c r="V9">
        <f>+V8*(1-Probs_Mujeres!V8)</f>
        <v>98841.422468594261</v>
      </c>
      <c r="W9">
        <f>+W8*(1-Probs_Mujeres!W8)</f>
        <v>98841.425574539651</v>
      </c>
      <c r="X9">
        <f>+X8*(1-Probs_Mujeres!X8)</f>
        <v>98841.427673032726</v>
      </c>
      <c r="Y9">
        <f>+Y8*(1-Probs_Mujeres!Y8)</f>
        <v>98841.42909085445</v>
      </c>
      <c r="Z9">
        <f>+Z8*(1-Probs_Mujeres!Z8)</f>
        <v>98841.430048789203</v>
      </c>
      <c r="AA9">
        <f>+AA8*(1-Probs_Mujeres!AA8)</f>
        <v>98841.430696006923</v>
      </c>
      <c r="AB9">
        <f>+AB8*(1-Probs_Mujeres!AB8)</f>
        <v>98841.43113329231</v>
      </c>
      <c r="AC9">
        <f>+AC8*(1-Probs_Mujeres!AC8)</f>
        <v>98841.431428739335</v>
      </c>
      <c r="AD9">
        <f>+AD8*(1-Probs_Mujeres!AD8)</f>
        <v>98841.431628354869</v>
      </c>
      <c r="AE9">
        <f>+AE8*(1-Probs_Mujeres!AE8)</f>
        <v>98841.431763222921</v>
      </c>
      <c r="AF9">
        <f>+AF8*(1-Probs_Mujeres!AF8)</f>
        <v>98841.431854345006</v>
      </c>
      <c r="AG9">
        <f>+AG8*(1-Probs_Mujeres!AG8)</f>
        <v>98841.431915910667</v>
      </c>
      <c r="AH9">
        <f>+AH8*(1-Probs_Mujeres!AH8)</f>
        <v>98841.431957506837</v>
      </c>
    </row>
    <row r="10" spans="1:34" x14ac:dyDescent="0.25">
      <c r="A10">
        <f>+Probs_Hombres!A10</f>
        <v>8</v>
      </c>
      <c r="B10">
        <f>+B9*(1-Probs_Mujeres!B9)</f>
        <v>98783.908894680062</v>
      </c>
      <c r="C10">
        <f>+C9*(1-Probs_Mujeres!C9)</f>
        <v>98792.130789445189</v>
      </c>
      <c r="D10">
        <f>+D9*(1-Probs_Mujeres!D9)</f>
        <v>98797.651386655096</v>
      </c>
      <c r="E10">
        <f>+E9*(1-Probs_Mujeres!E9)</f>
        <v>98801.365689254468</v>
      </c>
      <c r="F10">
        <f>+F9*(1-Probs_Mujeres!F9)</f>
        <v>98803.868110944255</v>
      </c>
      <c r="G10">
        <f>+G9*(1-Probs_Mujeres!G9)</f>
        <v>98805.55560951092</v>
      </c>
      <c r="H10">
        <f>+H9*(1-Probs_Mujeres!H9)</f>
        <v>98806.69427527189</v>
      </c>
      <c r="I10">
        <f>+I9*(1-Probs_Mujeres!I9)</f>
        <v>98807.46293022795</v>
      </c>
      <c r="J10">
        <f>+J9*(1-Probs_Mujeres!J9)</f>
        <v>98807.981956998905</v>
      </c>
      <c r="K10">
        <f>+K9*(1-Probs_Mujeres!K9)</f>
        <v>98808.332491915557</v>
      </c>
      <c r="L10">
        <f>+L9*(1-Probs_Mujeres!L9)</f>
        <v>98808.569263192563</v>
      </c>
      <c r="M10">
        <f>+M9*(1-Probs_Mujeres!M9)</f>
        <v>98808.729206002463</v>
      </c>
      <c r="N10">
        <f>+N9*(1-Probs_Mujeres!N9)</f>
        <v>98808.837256328421</v>
      </c>
      <c r="O10">
        <f>+O9*(1-Probs_Mujeres!O9)</f>
        <v>98808.910253288472</v>
      </c>
      <c r="P10">
        <f>+P9*(1-Probs_Mujeres!P9)</f>
        <v>98808.959570121282</v>
      </c>
      <c r="Q10">
        <f>+Q9*(1-Probs_Mujeres!Q9)</f>
        <v>98808.99288923906</v>
      </c>
      <c r="R10">
        <f>+R9*(1-Probs_Mujeres!R9)</f>
        <v>98809.015400361735</v>
      </c>
      <c r="S10">
        <f>+S9*(1-Probs_Mujeres!S9)</f>
        <v>98809.030609493668</v>
      </c>
      <c r="T10">
        <f>+T9*(1-Probs_Mujeres!T9)</f>
        <v>98809.040885258073</v>
      </c>
      <c r="U10">
        <f>+U9*(1-Probs_Mujeres!U9)</f>
        <v>98809.047827911781</v>
      </c>
      <c r="V10">
        <f>+V9*(1-Probs_Mujeres!V9)</f>
        <v>98809.052518615252</v>
      </c>
      <c r="W10">
        <f>+W9*(1-Probs_Mujeres!W9)</f>
        <v>98809.055687826622</v>
      </c>
      <c r="X10">
        <f>+X9*(1-Probs_Mujeres!X9)</f>
        <v>98809.057829064594</v>
      </c>
      <c r="Y10">
        <f>+Y9*(1-Probs_Mujeres!Y9)</f>
        <v>98809.059275766413</v>
      </c>
      <c r="Z10">
        <f>+Z9*(1-Probs_Mujeres!Z9)</f>
        <v>98809.060253213684</v>
      </c>
      <c r="AA10">
        <f>+AA9*(1-Probs_Mujeres!AA9)</f>
        <v>98809.060913614812</v>
      </c>
      <c r="AB10">
        <f>+AB9*(1-Probs_Mujeres!AB9)</f>
        <v>98809.061359807412</v>
      </c>
      <c r="AC10">
        <f>+AC9*(1-Probs_Mujeres!AC9)</f>
        <v>98809.061661272499</v>
      </c>
      <c r="AD10">
        <f>+AD9*(1-Probs_Mujeres!AD9)</f>
        <v>98809.061864954085</v>
      </c>
      <c r="AE10">
        <f>+AE9*(1-Probs_Mujeres!AE9)</f>
        <v>98809.062002569306</v>
      </c>
      <c r="AF10">
        <f>+AF9*(1-Probs_Mujeres!AF9)</f>
        <v>98809.062095547502</v>
      </c>
      <c r="AG10">
        <f>+AG9*(1-Probs_Mujeres!AG9)</f>
        <v>98809.062158367204</v>
      </c>
      <c r="AH10">
        <f>+AH9*(1-Probs_Mujeres!AH9)</f>
        <v>98809.062200810673</v>
      </c>
    </row>
    <row r="11" spans="1:34" x14ac:dyDescent="0.25">
      <c r="A11">
        <f>+Probs_Hombres!A11</f>
        <v>9</v>
      </c>
      <c r="B11">
        <f>+B10*(1-Probs_Mujeres!B10)</f>
        <v>98754.405776255531</v>
      </c>
      <c r="C11">
        <f>+C10*(1-Probs_Mujeres!C10)</f>
        <v>98762.775539092312</v>
      </c>
      <c r="D11">
        <f>+D10*(1-Probs_Mujeres!D10)</f>
        <v>98768.395632392727</v>
      </c>
      <c r="E11">
        <f>+E10*(1-Probs_Mujeres!E10)</f>
        <v>98772.176972178684</v>
      </c>
      <c r="F11">
        <f>+F10*(1-Probs_Mujeres!F10)</f>
        <v>98774.724601973052</v>
      </c>
      <c r="G11">
        <f>+G10*(1-Probs_Mujeres!G10)</f>
        <v>98776.442606232202</v>
      </c>
      <c r="H11">
        <f>+H10*(1-Probs_Mujeres!H10)</f>
        <v>98777.601865197124</v>
      </c>
      <c r="I11">
        <f>+I10*(1-Probs_Mujeres!I10)</f>
        <v>98778.384425682583</v>
      </c>
      <c r="J11">
        <f>+J10*(1-Probs_Mujeres!J10)</f>
        <v>98778.912843902581</v>
      </c>
      <c r="K11">
        <f>+K10*(1-Probs_Mujeres!K10)</f>
        <v>98779.269722374578</v>
      </c>
      <c r="L11">
        <f>+L10*(1-Probs_Mujeres!L10)</f>
        <v>98779.510778841286</v>
      </c>
      <c r="M11">
        <f>+M10*(1-Probs_Mujeres!M10)</f>
        <v>98779.673616544082</v>
      </c>
      <c r="N11">
        <f>+N10*(1-Probs_Mujeres!N10)</f>
        <v>98779.783622613686</v>
      </c>
      <c r="O11">
        <f>+O10*(1-Probs_Mujeres!O10)</f>
        <v>98779.857940877991</v>
      </c>
      <c r="P11">
        <f>+P10*(1-Probs_Mujeres!P10)</f>
        <v>98779.908150402465</v>
      </c>
      <c r="Q11">
        <f>+Q10*(1-Probs_Mujeres!Q10)</f>
        <v>98779.942072642516</v>
      </c>
      <c r="R11">
        <f>+R10*(1-Probs_Mujeres!R10)</f>
        <v>98779.964991251283</v>
      </c>
      <c r="S11">
        <f>+S10*(1-Probs_Mujeres!S10)</f>
        <v>98779.980475693606</v>
      </c>
      <c r="T11">
        <f>+T10*(1-Probs_Mujeres!T10)</f>
        <v>98779.990937467053</v>
      </c>
      <c r="U11">
        <f>+U10*(1-Probs_Mujeres!U10)</f>
        <v>98779.998005795089</v>
      </c>
      <c r="V11">
        <f>+V10*(1-Probs_Mujeres!V10)</f>
        <v>98780.002781408752</v>
      </c>
      <c r="W11">
        <f>+W10*(1-Probs_Mujeres!W10)</f>
        <v>98780.006007988632</v>
      </c>
      <c r="X11">
        <f>+X10*(1-Probs_Mujeres!X10)</f>
        <v>98780.008187986954</v>
      </c>
      <c r="Y11">
        <f>+Y10*(1-Probs_Mujeres!Y10)</f>
        <v>98780.009660876749</v>
      </c>
      <c r="Z11">
        <f>+Z10*(1-Probs_Mujeres!Z10)</f>
        <v>98780.010656017635</v>
      </c>
      <c r="AA11">
        <f>+AA10*(1-Probs_Mujeres!AA10)</f>
        <v>98780.01132837325</v>
      </c>
      <c r="AB11">
        <f>+AB10*(1-Probs_Mujeres!AB10)</f>
        <v>98780.011782642774</v>
      </c>
      <c r="AC11">
        <f>+AC10*(1-Probs_Mujeres!AC10)</f>
        <v>98780.012089564945</v>
      </c>
      <c r="AD11">
        <f>+AD10*(1-Probs_Mujeres!AD10)</f>
        <v>98780.01229693355</v>
      </c>
      <c r="AE11">
        <f>+AE10*(1-Probs_Mujeres!AE10)</f>
        <v>98780.012437039855</v>
      </c>
      <c r="AF11">
        <f>+AF10*(1-Probs_Mujeres!AF10)</f>
        <v>98780.012531701141</v>
      </c>
      <c r="AG11">
        <f>+AG10*(1-Probs_Mujeres!AG10)</f>
        <v>98780.012595657987</v>
      </c>
      <c r="AH11">
        <f>+AH10*(1-Probs_Mujeres!AH10)</f>
        <v>98780.012638869768</v>
      </c>
    </row>
    <row r="12" spans="1:34" x14ac:dyDescent="0.25">
      <c r="A12">
        <f>+Probs_Hombres!A12</f>
        <v>10</v>
      </c>
      <c r="B12">
        <f>+B11*(1-Probs_Mujeres!B11)</f>
        <v>98727.170674845038</v>
      </c>
      <c r="C12">
        <f>+C11*(1-Probs_Mujeres!C11)</f>
        <v>98735.679165457579</v>
      </c>
      <c r="D12">
        <f>+D11*(1-Probs_Mujeres!D11)</f>
        <v>98741.392598141698</v>
      </c>
      <c r="E12">
        <f>+E11*(1-Probs_Mujeres!E11)</f>
        <v>98745.236823983418</v>
      </c>
      <c r="F12">
        <f>+F11*(1-Probs_Mujeres!F11)</f>
        <v>98747.826861128036</v>
      </c>
      <c r="G12">
        <f>+G11*(1-Probs_Mujeres!G11)</f>
        <v>98749.573480564723</v>
      </c>
      <c r="H12">
        <f>+H11*(1-Probs_Mujeres!H11)</f>
        <v>98750.75205624169</v>
      </c>
      <c r="I12">
        <f>+I11*(1-Probs_Mujeres!I11)</f>
        <v>98751.547660180106</v>
      </c>
      <c r="J12">
        <f>+J11*(1-Probs_Mujeres!J11)</f>
        <v>98752.084887566074</v>
      </c>
      <c r="K12">
        <f>+K11*(1-Probs_Mujeres!K11)</f>
        <v>98752.447716257535</v>
      </c>
      <c r="L12">
        <f>+L11*(1-Probs_Mujeres!L11)</f>
        <v>98752.692792196161</v>
      </c>
      <c r="M12">
        <f>+M11*(1-Probs_Mujeres!M11)</f>
        <v>98752.858345278626</v>
      </c>
      <c r="N12">
        <f>+N11*(1-Probs_Mujeres!N11)</f>
        <v>98752.970185813087</v>
      </c>
      <c r="O12">
        <f>+O11*(1-Probs_Mujeres!O11)</f>
        <v>98753.04574344428</v>
      </c>
      <c r="P12">
        <f>+P11*(1-Probs_Mujeres!P11)</f>
        <v>98753.09679030189</v>
      </c>
      <c r="Q12">
        <f>+Q11*(1-Probs_Mujeres!Q11)</f>
        <v>98753.131278262503</v>
      </c>
      <c r="R12">
        <f>+R11*(1-Probs_Mujeres!R11)</f>
        <v>98753.154579087641</v>
      </c>
      <c r="S12">
        <f>+S11*(1-Probs_Mujeres!S11)</f>
        <v>98753.170321767291</v>
      </c>
      <c r="T12">
        <f>+T11*(1-Probs_Mujeres!T11)</f>
        <v>98753.180958014607</v>
      </c>
      <c r="U12">
        <f>+U11*(1-Probs_Mujeres!U11)</f>
        <v>98753.188144223386</v>
      </c>
      <c r="V12">
        <f>+V11*(1-Probs_Mujeres!V11)</f>
        <v>98753.192999481602</v>
      </c>
      <c r="W12">
        <f>+W11*(1-Probs_Mujeres!W11)</f>
        <v>98753.196279872325</v>
      </c>
      <c r="X12">
        <f>+X11*(1-Probs_Mujeres!X11)</f>
        <v>98753.198496227298</v>
      </c>
      <c r="Y12">
        <f>+Y11*(1-Probs_Mujeres!Y11)</f>
        <v>98753.199993681061</v>
      </c>
      <c r="Z12">
        <f>+Z11*(1-Probs_Mujeres!Z11)</f>
        <v>98753.20100541829</v>
      </c>
      <c r="AA12">
        <f>+AA11*(1-Probs_Mujeres!AA11)</f>
        <v>98753.201688987043</v>
      </c>
      <c r="AB12">
        <f>+AB11*(1-Probs_Mujeres!AB11)</f>
        <v>98753.202150832614</v>
      </c>
      <c r="AC12">
        <f>+AC11*(1-Probs_Mujeres!AC11)</f>
        <v>98753.202462873436</v>
      </c>
      <c r="AD12">
        <f>+AD11*(1-Probs_Mujeres!AD11)</f>
        <v>98753.20267370042</v>
      </c>
      <c r="AE12">
        <f>+AE11*(1-Probs_Mujeres!AE11)</f>
        <v>98753.202816143341</v>
      </c>
      <c r="AF12">
        <f>+AF11*(1-Probs_Mujeres!AF11)</f>
        <v>98753.202912383334</v>
      </c>
      <c r="AG12">
        <f>+AG11*(1-Probs_Mujeres!AG11)</f>
        <v>98753.202977406807</v>
      </c>
      <c r="AH12">
        <f>+AH11*(1-Probs_Mujeres!AH11)</f>
        <v>98753.203021339243</v>
      </c>
    </row>
    <row r="13" spans="1:34" x14ac:dyDescent="0.25">
      <c r="A13">
        <f>+Probs_Hombres!A13</f>
        <v>11</v>
      </c>
      <c r="B13">
        <f>+B12*(1-Probs_Mujeres!B12)</f>
        <v>98701.079313187962</v>
      </c>
      <c r="C13">
        <f>+C12*(1-Probs_Mujeres!C12)</f>
        <v>98709.721076495844</v>
      </c>
      <c r="D13">
        <f>+D12*(1-Probs_Mujeres!D12)</f>
        <v>98715.524177261337</v>
      </c>
      <c r="E13">
        <f>+E12*(1-Probs_Mujeres!E12)</f>
        <v>98719.428815219871</v>
      </c>
      <c r="F13">
        <f>+F12*(1-Probs_Mujeres!F12)</f>
        <v>98722.059591202429</v>
      </c>
      <c r="G13">
        <f>+G12*(1-Probs_Mujeres!G12)</f>
        <v>98723.833699861774</v>
      </c>
      <c r="H13">
        <f>+H12*(1-Probs_Mujeres!H12)</f>
        <v>98725.030832130622</v>
      </c>
      <c r="I13">
        <f>+I12*(1-Probs_Mujeres!I12)</f>
        <v>98725.838966237483</v>
      </c>
      <c r="J13">
        <f>+J12*(1-Probs_Mujeres!J12)</f>
        <v>98726.384656123148</v>
      </c>
      <c r="K13">
        <f>+K12*(1-Probs_Mujeres!K12)</f>
        <v>98726.753200871593</v>
      </c>
      <c r="L13">
        <f>+L12*(1-Probs_Mujeres!L12)</f>
        <v>98727.002138099619</v>
      </c>
      <c r="M13">
        <f>+M12*(1-Probs_Mujeres!M12)</f>
        <v>98727.170299699734</v>
      </c>
      <c r="N13">
        <f>+N12*(1-Probs_Mujeres!N12)</f>
        <v>98727.283902504452</v>
      </c>
      <c r="O13">
        <f>+O12*(1-Probs_Mujeres!O12)</f>
        <v>98727.360650727613</v>
      </c>
      <c r="P13">
        <f>+P12*(1-Probs_Mujeres!P12)</f>
        <v>98727.412501965257</v>
      </c>
      <c r="Q13">
        <f>+Q12*(1-Probs_Mujeres!Q12)</f>
        <v>98727.447533382583</v>
      </c>
      <c r="R13">
        <f>+R12*(1-Probs_Mujeres!R12)</f>
        <v>98727.471201381981</v>
      </c>
      <c r="S13">
        <f>+S12*(1-Probs_Mujeres!S12)</f>
        <v>98727.487192136046</v>
      </c>
      <c r="T13">
        <f>+T12*(1-Probs_Mujeres!T12)</f>
        <v>98727.497995990809</v>
      </c>
      <c r="U13">
        <f>+U12*(1-Probs_Mujeres!U12)</f>
        <v>98727.505295441137</v>
      </c>
      <c r="V13">
        <f>+V12*(1-Probs_Mujeres!V12)</f>
        <v>98727.510227209495</v>
      </c>
      <c r="W13">
        <f>+W12*(1-Probs_Mujeres!W12)</f>
        <v>98727.513559293351</v>
      </c>
      <c r="X13">
        <f>+X12*(1-Probs_Mujeres!X12)</f>
        <v>98727.515810574158</v>
      </c>
      <c r="Y13">
        <f>+Y12*(1-Probs_Mujeres!Y12)</f>
        <v>98727.51733162516</v>
      </c>
      <c r="Z13">
        <f>+Z12*(1-Probs_Mujeres!Z12)</f>
        <v>98727.518359305599</v>
      </c>
      <c r="AA13">
        <f>+AA12*(1-Probs_Mujeres!AA12)</f>
        <v>98727.519053646189</v>
      </c>
      <c r="AB13">
        <f>+AB12*(1-Probs_Mujeres!AB12)</f>
        <v>98727.519522769639</v>
      </c>
      <c r="AC13">
        <f>+AC12*(1-Probs_Mujeres!AC12)</f>
        <v>98727.519839727684</v>
      </c>
      <c r="AD13">
        <f>+AD12*(1-Probs_Mujeres!AD12)</f>
        <v>98727.520053876928</v>
      </c>
      <c r="AE13">
        <f>+AE12*(1-Probs_Mujeres!AE12)</f>
        <v>98727.520198564511</v>
      </c>
      <c r="AF13">
        <f>+AF12*(1-Probs_Mujeres!AF12)</f>
        <v>98727.520296321076</v>
      </c>
      <c r="AG13">
        <f>+AG12*(1-Probs_Mujeres!AG12)</f>
        <v>98727.520362369207</v>
      </c>
      <c r="AH13">
        <f>+AH12*(1-Probs_Mujeres!AH12)</f>
        <v>98727.520406993935</v>
      </c>
    </row>
    <row r="14" spans="1:34" x14ac:dyDescent="0.25">
      <c r="A14">
        <f>+Probs_Hombres!A14</f>
        <v>12</v>
      </c>
      <c r="B14">
        <f>+B13*(1-Probs_Mujeres!B13)</f>
        <v>98673.17982106359</v>
      </c>
      <c r="C14">
        <f>+C13*(1-Probs_Mujeres!C13)</f>
        <v>98681.943063893254</v>
      </c>
      <c r="D14">
        <f>+D13*(1-Probs_Mujeres!D13)</f>
        <v>98687.827951575862</v>
      </c>
      <c r="E14">
        <f>+E13*(1-Probs_Mujeres!E13)</f>
        <v>98691.787716221239</v>
      </c>
      <c r="F14">
        <f>+F13*(1-Probs_Mujeres!F13)</f>
        <v>98694.45567791503</v>
      </c>
      <c r="G14">
        <f>+G13*(1-Probs_Mujeres!G13)</f>
        <v>98696.254883324043</v>
      </c>
      <c r="H14">
        <f>+H13*(1-Probs_Mujeres!H13)</f>
        <v>98697.468959454403</v>
      </c>
      <c r="I14">
        <f>+I13*(1-Probs_Mujeres!I13)</f>
        <v>98698.288535801257</v>
      </c>
      <c r="J14">
        <f>+J13*(1-Probs_Mujeres!J13)</f>
        <v>98698.841953912881</v>
      </c>
      <c r="K14">
        <f>+K13*(1-Probs_Mujeres!K13)</f>
        <v>98699.215718967054</v>
      </c>
      <c r="L14">
        <f>+L13*(1-Probs_Mujeres!L13)</f>
        <v>98699.468182696524</v>
      </c>
      <c r="M14">
        <f>+M13*(1-Probs_Mujeres!M13)</f>
        <v>98699.638726691934</v>
      </c>
      <c r="N14">
        <f>+N13*(1-Probs_Mujeres!N13)</f>
        <v>98699.753939023329</v>
      </c>
      <c r="O14">
        <f>+O13*(1-Probs_Mujeres!O13)</f>
        <v>98699.831774654216</v>
      </c>
      <c r="P14">
        <f>+P13*(1-Probs_Mujeres!P13)</f>
        <v>98699.884360563592</v>
      </c>
      <c r="Q14">
        <f>+Q13*(1-Probs_Mujeres!Q13)</f>
        <v>98699.919888343138</v>
      </c>
      <c r="R14">
        <f>+R13*(1-Probs_Mujeres!R13)</f>
        <v>98699.943891699397</v>
      </c>
      <c r="S14">
        <f>+S13*(1-Probs_Mujeres!S13)</f>
        <v>98699.960109031425</v>
      </c>
      <c r="T14">
        <f>+T13*(1-Probs_Mujeres!T13)</f>
        <v>98699.971065970123</v>
      </c>
      <c r="U14">
        <f>+U13*(1-Probs_Mujeres!U13)</f>
        <v>98699.978468849484</v>
      </c>
      <c r="V14">
        <f>+V13*(1-Probs_Mujeres!V13)</f>
        <v>98699.983470498322</v>
      </c>
      <c r="W14">
        <f>+W13*(1-Probs_Mujeres!W13)</f>
        <v>98699.986849796071</v>
      </c>
      <c r="X14">
        <f>+X13*(1-Probs_Mujeres!X13)</f>
        <v>98699.989132976392</v>
      </c>
      <c r="Y14">
        <f>+Y13*(1-Probs_Mujeres!Y13)</f>
        <v>98699.990675579917</v>
      </c>
      <c r="Z14">
        <f>+Z13*(1-Probs_Mujeres!Z13)</f>
        <v>98699.991717822078</v>
      </c>
      <c r="AA14">
        <f>+AA13*(1-Probs_Mujeres!AA13)</f>
        <v>98699.99242200116</v>
      </c>
      <c r="AB14">
        <f>+AB13*(1-Probs_Mujeres!AB13)</f>
        <v>98699.992897771852</v>
      </c>
      <c r="AC14">
        <f>+AC13*(1-Probs_Mujeres!AC13)</f>
        <v>98699.99321922104</v>
      </c>
      <c r="AD14">
        <f>+AD13*(1-Probs_Mujeres!AD13)</f>
        <v>98699.993436404679</v>
      </c>
      <c r="AE14">
        <f>+AE13*(1-Probs_Mujeres!AE13)</f>
        <v>98699.993583142408</v>
      </c>
      <c r="AF14">
        <f>+AF13*(1-Probs_Mujeres!AF13)</f>
        <v>98699.993682284141</v>
      </c>
      <c r="AG14">
        <f>+AG13*(1-Probs_Mujeres!AG13)</f>
        <v>98699.993749268149</v>
      </c>
      <c r="AH14">
        <f>+AH13*(1-Probs_Mujeres!AH13)</f>
        <v>98699.993794525173</v>
      </c>
    </row>
    <row r="15" spans="1:34" x14ac:dyDescent="0.25">
      <c r="A15">
        <f>+Probs_Hombres!A15</f>
        <v>13</v>
      </c>
      <c r="B15">
        <f>+B14*(1-Probs_Mujeres!B14)</f>
        <v>98641.502848063581</v>
      </c>
      <c r="C15">
        <f>+C14*(1-Probs_Mujeres!C14)</f>
        <v>98650.38138224154</v>
      </c>
      <c r="D15">
        <f>+D14*(1-Probs_Mujeres!D14)</f>
        <v>98656.343939283091</v>
      </c>
      <c r="E15">
        <f>+E14*(1-Probs_Mujeres!E14)</f>
        <v>98660.356077434888</v>
      </c>
      <c r="F15">
        <f>+F14*(1-Probs_Mujeres!F14)</f>
        <v>98663.059377787227</v>
      </c>
      <c r="G15">
        <f>+G14*(1-Probs_Mujeres!G14)</f>
        <v>98664.882437972861</v>
      </c>
      <c r="H15">
        <f>+H14*(1-Probs_Mujeres!H14)</f>
        <v>98666.112621559252</v>
      </c>
      <c r="I15">
        <f>+I14*(1-Probs_Mujeres!I14)</f>
        <v>98666.943076278214</v>
      </c>
      <c r="J15">
        <f>+J14*(1-Probs_Mujeres!J14)</f>
        <v>98667.503842210441</v>
      </c>
      <c r="K15">
        <f>+K14*(1-Probs_Mujeres!K14)</f>
        <v>98667.882570811751</v>
      </c>
      <c r="L15">
        <f>+L14*(1-Probs_Mujeres!L14)</f>
        <v>98668.138387684332</v>
      </c>
      <c r="M15">
        <f>+M14*(1-Probs_Mujeres!M14)</f>
        <v>98668.311197001109</v>
      </c>
      <c r="N15">
        <f>+N14*(1-Probs_Mujeres!N14)</f>
        <v>98668.427939784029</v>
      </c>
      <c r="O15">
        <f>+O14*(1-Probs_Mujeres!O14)</f>
        <v>98668.506809407569</v>
      </c>
      <c r="P15">
        <f>+P14*(1-Probs_Mujeres!P14)</f>
        <v>98668.560093904453</v>
      </c>
      <c r="Q15">
        <f>+Q14*(1-Probs_Mujeres!Q14)</f>
        <v>98668.596093668661</v>
      </c>
      <c r="R15">
        <f>+R14*(1-Probs_Mujeres!R14)</f>
        <v>98668.620415912388</v>
      </c>
      <c r="S15">
        <f>+S14*(1-Probs_Mujeres!S14)</f>
        <v>98668.636848695533</v>
      </c>
      <c r="T15">
        <f>+T14*(1-Probs_Mujeres!T14)</f>
        <v>98668.647951200634</v>
      </c>
      <c r="U15">
        <f>+U14*(1-Probs_Mujeres!U14)</f>
        <v>98668.655452430001</v>
      </c>
      <c r="V15">
        <f>+V14*(1-Probs_Mujeres!V14)</f>
        <v>98668.660520527774</v>
      </c>
      <c r="W15">
        <f>+W14*(1-Probs_Mujeres!W14)</f>
        <v>98668.663944720945</v>
      </c>
      <c r="X15">
        <f>+X14*(1-Probs_Mujeres!X14)</f>
        <v>98668.666258234342</v>
      </c>
      <c r="Y15">
        <f>+Y14*(1-Probs_Mujeres!Y14)</f>
        <v>98668.667821332056</v>
      </c>
      <c r="Z15">
        <f>+Z14*(1-Probs_Mujeres!Z14)</f>
        <v>98668.668877420889</v>
      </c>
      <c r="AA15">
        <f>+AA14*(1-Probs_Mujeres!AA14)</f>
        <v>98668.669590955324</v>
      </c>
      <c r="AB15">
        <f>+AB14*(1-Probs_Mujeres!AB14)</f>
        <v>98668.670073046858</v>
      </c>
      <c r="AC15">
        <f>+AC14*(1-Probs_Mujeres!AC14)</f>
        <v>98668.670398766655</v>
      </c>
      <c r="AD15">
        <f>+AD14*(1-Probs_Mujeres!AD14)</f>
        <v>98668.670618835677</v>
      </c>
      <c r="AE15">
        <f>+AE14*(1-Probs_Mujeres!AE14)</f>
        <v>98668.670767522883</v>
      </c>
      <c r="AF15">
        <f>+AF14*(1-Probs_Mujeres!AF14)</f>
        <v>98668.670867981768</v>
      </c>
      <c r="AG15">
        <f>+AG14*(1-Probs_Mujeres!AG14)</f>
        <v>98668.670935855698</v>
      </c>
      <c r="AH15">
        <f>+AH14*(1-Probs_Mujeres!AH14)</f>
        <v>98668.670981713978</v>
      </c>
    </row>
    <row r="16" spans="1:34" x14ac:dyDescent="0.25">
      <c r="A16">
        <f>+Probs_Hombres!A16</f>
        <v>14</v>
      </c>
      <c r="B16">
        <f>+B15*(1-Probs_Mujeres!B15)</f>
        <v>98605.524155797437</v>
      </c>
      <c r="C16">
        <f>+C15*(1-Probs_Mujeres!C15)</f>
        <v>98614.521862115871</v>
      </c>
      <c r="D16">
        <f>+D15*(1-Probs_Mujeres!D15)</f>
        <v>98620.564726303841</v>
      </c>
      <c r="E16">
        <f>+E15*(1-Probs_Mujeres!E15)</f>
        <v>98624.631027308031</v>
      </c>
      <c r="F16">
        <f>+F15*(1-Probs_Mujeres!F15)</f>
        <v>98627.370878522299</v>
      </c>
      <c r="G16">
        <f>+G15*(1-Probs_Mujeres!G15)</f>
        <v>98629.218613976351</v>
      </c>
      <c r="H16">
        <f>+H15*(1-Probs_Mujeres!H15)</f>
        <v>98630.465460049279</v>
      </c>
      <c r="I16">
        <f>+I15*(1-Probs_Mujeres!I15)</f>
        <v>98631.307168448009</v>
      </c>
      <c r="J16">
        <f>+J15*(1-Probs_Mujeres!J15)</f>
        <v>98631.875535913525</v>
      </c>
      <c r="K16">
        <f>+K15*(1-Probs_Mujeres!K15)</f>
        <v>98632.259399544142</v>
      </c>
      <c r="L16">
        <f>+L15*(1-Probs_Mujeres!L15)</f>
        <v>98632.518685449089</v>
      </c>
      <c r="M16">
        <f>+M15*(1-Probs_Mujeres!M15)</f>
        <v>98632.693838399849</v>
      </c>
      <c r="N16">
        <f>+N15*(1-Probs_Mujeres!N15)</f>
        <v>98632.812164551447</v>
      </c>
      <c r="O16">
        <f>+O15*(1-Probs_Mujeres!O15)</f>
        <v>98632.892103923296</v>
      </c>
      <c r="P16">
        <f>+P15*(1-Probs_Mujeres!P15)</f>
        <v>98632.946111166893</v>
      </c>
      <c r="Q16">
        <f>+Q15*(1-Probs_Mujeres!Q15)</f>
        <v>98632.982599239243</v>
      </c>
      <c r="R16">
        <f>+R15*(1-Probs_Mujeres!R15)</f>
        <v>98633.007251399496</v>
      </c>
      <c r="S16">
        <f>+S15*(1-Probs_Mujeres!S15)</f>
        <v>98633.023907085517</v>
      </c>
      <c r="T16">
        <f>+T15*(1-Probs_Mujeres!T15)</f>
        <v>98633.035160191779</v>
      </c>
      <c r="U16">
        <f>+U15*(1-Probs_Mujeres!U15)</f>
        <v>98633.042763172853</v>
      </c>
      <c r="V16">
        <f>+V15*(1-Probs_Mujeres!V15)</f>
        <v>98633.047900017904</v>
      </c>
      <c r="W16">
        <f>+W15*(1-Probs_Mujeres!W15)</f>
        <v>98633.051370659363</v>
      </c>
      <c r="X16">
        <f>+X15*(1-Probs_Mujeres!X15)</f>
        <v>98633.053715554997</v>
      </c>
      <c r="Y16">
        <f>+Y15*(1-Probs_Mujeres!Y15)</f>
        <v>98633.055299855769</v>
      </c>
      <c r="Z16">
        <f>+Z15*(1-Probs_Mujeres!Z15)</f>
        <v>98633.05637027022</v>
      </c>
      <c r="AA16">
        <f>+AA15*(1-Probs_Mujeres!AA15)</f>
        <v>98633.057093483585</v>
      </c>
      <c r="AB16">
        <f>+AB15*(1-Probs_Mujeres!AB15)</f>
        <v>98633.05758211459</v>
      </c>
      <c r="AC16">
        <f>+AC15*(1-Probs_Mujeres!AC15)</f>
        <v>98633.057912252698</v>
      </c>
      <c r="AD16">
        <f>+AD15*(1-Probs_Mujeres!AD15)</f>
        <v>98633.058135306914</v>
      </c>
      <c r="AE16">
        <f>+AE15*(1-Probs_Mujeres!AE15)</f>
        <v>98633.05828601103</v>
      </c>
      <c r="AF16">
        <f>+AF15*(1-Probs_Mujeres!AF15)</f>
        <v>98633.058387832629</v>
      </c>
      <c r="AG16">
        <f>+AG15*(1-Probs_Mujeres!AG15)</f>
        <v>98633.058456627245</v>
      </c>
      <c r="AH16">
        <f>+AH15*(1-Probs_Mujeres!AH15)</f>
        <v>98633.05850310759</v>
      </c>
    </row>
    <row r="17" spans="1:34" x14ac:dyDescent="0.25">
      <c r="A17">
        <f>+Probs_Hombres!A17</f>
        <v>15</v>
      </c>
      <c r="B17">
        <f>+B16*(1-Probs_Mujeres!B16)</f>
        <v>98563.889220858313</v>
      </c>
      <c r="C17">
        <f>+C16*(1-Probs_Mujeres!C16)</f>
        <v>98573.008282518233</v>
      </c>
      <c r="D17">
        <f>+D16*(1-Probs_Mujeres!D16)</f>
        <v>98579.132954338755</v>
      </c>
      <c r="E17">
        <f>+E16*(1-Probs_Mujeres!E16)</f>
        <v>98583.254443533486</v>
      </c>
      <c r="F17">
        <f>+F16*(1-Probs_Mujeres!F16)</f>
        <v>98586.031543623452</v>
      </c>
      <c r="G17">
        <f>+G16*(1-Probs_Mujeres!G16)</f>
        <v>98587.904428344817</v>
      </c>
      <c r="H17">
        <f>+H16*(1-Probs_Mujeres!H16)</f>
        <v>98589.168258247402</v>
      </c>
      <c r="I17">
        <f>+I16*(1-Probs_Mujeres!I16)</f>
        <v>98590.021437935357</v>
      </c>
      <c r="J17">
        <f>+J16*(1-Probs_Mujeres!J16)</f>
        <v>98590.597554186577</v>
      </c>
      <c r="K17">
        <f>+K16*(1-Probs_Mujeres!K16)</f>
        <v>98590.986652439518</v>
      </c>
      <c r="L17">
        <f>+L16*(1-Probs_Mujeres!L16)</f>
        <v>98591.249474713026</v>
      </c>
      <c r="M17">
        <f>+M16*(1-Probs_Mujeres!M16)</f>
        <v>98591.427016814312</v>
      </c>
      <c r="N17">
        <f>+N16*(1-Probs_Mujeres!N16)</f>
        <v>98591.546957097162</v>
      </c>
      <c r="O17">
        <f>+O16*(1-Probs_Mujeres!O16)</f>
        <v>98591.627987006243</v>
      </c>
      <c r="P17">
        <f>+P16*(1-Probs_Mujeres!P16)</f>
        <v>98591.682731044391</v>
      </c>
      <c r="Q17">
        <f>+Q16*(1-Probs_Mujeres!Q16)</f>
        <v>98591.719716917098</v>
      </c>
      <c r="R17">
        <f>+R16*(1-Probs_Mujeres!R16)</f>
        <v>98591.744705407604</v>
      </c>
      <c r="S17">
        <f>+S16*(1-Probs_Mujeres!S16)</f>
        <v>98591.761588330075</v>
      </c>
      <c r="T17">
        <f>+T16*(1-Probs_Mujeres!T16)</f>
        <v>98591.772994965519</v>
      </c>
      <c r="U17">
        <f>+U16*(1-Probs_Mujeres!U16)</f>
        <v>98591.780701676631</v>
      </c>
      <c r="V17">
        <f>+V16*(1-Probs_Mujeres!V16)</f>
        <v>98591.785908605598</v>
      </c>
      <c r="W17">
        <f>+W16*(1-Probs_Mujeres!W16)</f>
        <v>98591.789426598451</v>
      </c>
      <c r="X17">
        <f>+X16*(1-Probs_Mujeres!X16)</f>
        <v>98591.7918034865</v>
      </c>
      <c r="Y17">
        <f>+Y16*(1-Probs_Mujeres!Y16)</f>
        <v>98591.793409402599</v>
      </c>
      <c r="Z17">
        <f>+Z16*(1-Probs_Mujeres!Z16)</f>
        <v>98591.794494421192</v>
      </c>
      <c r="AA17">
        <f>+AA16*(1-Probs_Mujeres!AA16)</f>
        <v>98591.795227501687</v>
      </c>
      <c r="AB17">
        <f>+AB16*(1-Probs_Mujeres!AB16)</f>
        <v>98591.795722799317</v>
      </c>
      <c r="AC17">
        <f>+AC16*(1-Probs_Mujeres!AC16)</f>
        <v>98591.796057441636</v>
      </c>
      <c r="AD17">
        <f>+AD16*(1-Probs_Mujeres!AD16)</f>
        <v>98591.796283539094</v>
      </c>
      <c r="AE17">
        <f>+AE16*(1-Probs_Mujeres!AE16)</f>
        <v>98591.796436299337</v>
      </c>
      <c r="AF17">
        <f>+AF16*(1-Probs_Mujeres!AF16)</f>
        <v>98591.796539510135</v>
      </c>
      <c r="AG17">
        <f>+AG16*(1-Probs_Mujeres!AG16)</f>
        <v>98591.796609243349</v>
      </c>
      <c r="AH17">
        <f>+AH16*(1-Probs_Mujeres!AH16)</f>
        <v>98591.796656357852</v>
      </c>
    </row>
    <row r="18" spans="1:34" x14ac:dyDescent="0.25">
      <c r="A18">
        <f>+Probs_Hombres!A18</f>
        <v>16</v>
      </c>
      <c r="B18">
        <f>+B17*(1-Probs_Mujeres!B17)</f>
        <v>98514.736224607783</v>
      </c>
      <c r="C18">
        <f>+C17*(1-Probs_Mujeres!C17)</f>
        <v>98523.983804170013</v>
      </c>
      <c r="D18">
        <f>+D17*(1-Probs_Mujeres!D17)</f>
        <v>98530.195135865724</v>
      </c>
      <c r="E18">
        <f>+E17*(1-Probs_Mujeres!E17)</f>
        <v>98534.375097482844</v>
      </c>
      <c r="F18">
        <f>+F17*(1-Probs_Mujeres!F17)</f>
        <v>98537.191668070445</v>
      </c>
      <c r="G18">
        <f>+G17*(1-Probs_Mujeres!G17)</f>
        <v>98539.091204287353</v>
      </c>
      <c r="H18">
        <f>+H17*(1-Probs_Mujeres!H17)</f>
        <v>98540.373033536642</v>
      </c>
      <c r="I18">
        <f>+I17*(1-Probs_Mujeres!I17)</f>
        <v>98541.238370888896</v>
      </c>
      <c r="J18">
        <f>+J17*(1-Probs_Mujeres!J17)</f>
        <v>98541.822699782613</v>
      </c>
      <c r="K18">
        <f>+K17*(1-Probs_Mujeres!K17)</f>
        <v>98542.217346110119</v>
      </c>
      <c r="L18">
        <f>+L17*(1-Probs_Mujeres!L17)</f>
        <v>98542.48391655671</v>
      </c>
      <c r="M18">
        <f>+M17*(1-Probs_Mujeres!M17)</f>
        <v>98542.663990922869</v>
      </c>
      <c r="N18">
        <f>+N17*(1-Probs_Mujeres!N17)</f>
        <v>98542.785642035626</v>
      </c>
      <c r="O18">
        <f>+O17*(1-Probs_Mujeres!O17)</f>
        <v>98542.867827817579</v>
      </c>
      <c r="P18">
        <f>+P17*(1-Probs_Mujeres!P17)</f>
        <v>98542.923352794649</v>
      </c>
      <c r="Q18">
        <f>+Q17*(1-Probs_Mujeres!Q17)</f>
        <v>98542.960866293855</v>
      </c>
      <c r="R18">
        <f>+R17*(1-Probs_Mujeres!R17)</f>
        <v>98542.986211266529</v>
      </c>
      <c r="S18">
        <f>+S17*(1-Probs_Mujeres!S17)</f>
        <v>98543.003335040979</v>
      </c>
      <c r="T18">
        <f>+T17*(1-Probs_Mujeres!T17)</f>
        <v>98543.01490440483</v>
      </c>
      <c r="U18">
        <f>+U17*(1-Probs_Mujeres!U17)</f>
        <v>98543.022721061352</v>
      </c>
      <c r="V18">
        <f>+V17*(1-Probs_Mujeres!V17)</f>
        <v>98543.028002273597</v>
      </c>
      <c r="W18">
        <f>+W17*(1-Probs_Mujeres!W17)</f>
        <v>98543.031570455089</v>
      </c>
      <c r="X18">
        <f>+X17*(1-Probs_Mujeres!X17)</f>
        <v>98543.03398125252</v>
      </c>
      <c r="Y18">
        <f>+Y17*(1-Probs_Mujeres!Y17)</f>
        <v>98543.035610079125</v>
      </c>
      <c r="Z18">
        <f>+Z17*(1-Probs_Mujeres!Z17)</f>
        <v>98543.03671057694</v>
      </c>
      <c r="AA18">
        <f>+AA17*(1-Probs_Mujeres!AA17)</f>
        <v>98543.037454115794</v>
      </c>
      <c r="AB18">
        <f>+AB17*(1-Probs_Mujeres!AB17)</f>
        <v>98543.037956479515</v>
      </c>
      <c r="AC18">
        <f>+AC17*(1-Probs_Mujeres!AC17)</f>
        <v>98543.038295895938</v>
      </c>
      <c r="AD18">
        <f>+AD17*(1-Probs_Mujeres!AD17)</f>
        <v>98543.038525218988</v>
      </c>
      <c r="AE18">
        <f>+AE17*(1-Probs_Mujeres!AE17)</f>
        <v>98543.038680158556</v>
      </c>
      <c r="AF18">
        <f>+AF17*(1-Probs_Mujeres!AF17)</f>
        <v>98543.038784841789</v>
      </c>
      <c r="AG18">
        <f>+AG17*(1-Probs_Mujeres!AG17)</f>
        <v>98543.038855569845</v>
      </c>
      <c r="AH18">
        <f>+AH17*(1-Probs_Mujeres!AH17)</f>
        <v>98543.038903356501</v>
      </c>
    </row>
    <row r="19" spans="1:34" x14ac:dyDescent="0.25">
      <c r="A19">
        <f>+Probs_Hombres!A19</f>
        <v>17</v>
      </c>
      <c r="B19">
        <f>+B18*(1-Probs_Mujeres!B18)</f>
        <v>98458.308407734163</v>
      </c>
      <c r="C19">
        <f>+C18*(1-Probs_Mujeres!C18)</f>
        <v>98467.697772921034</v>
      </c>
      <c r="D19">
        <f>+D18*(1-Probs_Mujeres!D18)</f>
        <v>98474.004720079407</v>
      </c>
      <c r="E19">
        <f>+E18*(1-Probs_Mujeres!E18)</f>
        <v>98478.249200926904</v>
      </c>
      <c r="F19">
        <f>+F18*(1-Probs_Mujeres!F18)</f>
        <v>98481.109325672005</v>
      </c>
      <c r="G19">
        <f>+G18*(1-Probs_Mujeres!G18)</f>
        <v>98483.038271642246</v>
      </c>
      <c r="H19">
        <f>+H18*(1-Probs_Mujeres!H18)</f>
        <v>98484.339963449325</v>
      </c>
      <c r="I19">
        <f>+I18*(1-Probs_Mujeres!I18)</f>
        <v>98485.218717152573</v>
      </c>
      <c r="J19">
        <f>+J18*(1-Probs_Mujeres!J18)</f>
        <v>98485.812109028397</v>
      </c>
      <c r="K19">
        <f>+K18*(1-Probs_Mujeres!K18)</f>
        <v>98486.212877917395</v>
      </c>
      <c r="L19">
        <f>+L18*(1-Probs_Mujeres!L18)</f>
        <v>98486.483584666581</v>
      </c>
      <c r="M19">
        <f>+M18*(1-Probs_Mujeres!M18)</f>
        <v>98486.666453525657</v>
      </c>
      <c r="N19">
        <f>+N18*(1-Probs_Mujeres!N18)</f>
        <v>98486.789992636433</v>
      </c>
      <c r="O19">
        <f>+O18*(1-Probs_Mujeres!O18)</f>
        <v>98486.873453991415</v>
      </c>
      <c r="P19">
        <f>+P18*(1-Probs_Mujeres!P18)</f>
        <v>98486.929840780809</v>
      </c>
      <c r="Q19">
        <f>+Q18*(1-Probs_Mujeres!Q18)</f>
        <v>98486.967936547415</v>
      </c>
      <c r="R19">
        <f>+R18*(1-Probs_Mujeres!R18)</f>
        <v>98486.993674919649</v>
      </c>
      <c r="S19">
        <f>+S18*(1-Probs_Mujeres!S18)</f>
        <v>98487.011064488848</v>
      </c>
      <c r="T19">
        <f>+T18*(1-Probs_Mujeres!T18)</f>
        <v>98487.022813433388</v>
      </c>
      <c r="U19">
        <f>+U18*(1-Probs_Mujeres!U18)</f>
        <v>98487.030751421349</v>
      </c>
      <c r="V19">
        <f>+V18*(1-Probs_Mujeres!V18)</f>
        <v>98487.036114609742</v>
      </c>
      <c r="W19">
        <f>+W18*(1-Probs_Mujeres!W18)</f>
        <v>98487.039738177453</v>
      </c>
      <c r="X19">
        <f>+X18*(1-Probs_Mujeres!X18)</f>
        <v>98487.042186395964</v>
      </c>
      <c r="Y19">
        <f>+Y18*(1-Probs_Mujeres!Y18)</f>
        <v>98487.043840505692</v>
      </c>
      <c r="Z19">
        <f>+Z18*(1-Probs_Mujeres!Z18)</f>
        <v>98487.044958085782</v>
      </c>
      <c r="AA19">
        <f>+AA18*(1-Probs_Mujeres!AA18)</f>
        <v>98487.045713166081</v>
      </c>
      <c r="AB19">
        <f>+AB18*(1-Probs_Mujeres!AB18)</f>
        <v>98487.046223327648</v>
      </c>
      <c r="AC19">
        <f>+AC18*(1-Probs_Mujeres!AC18)</f>
        <v>98487.046568012607</v>
      </c>
      <c r="AD19">
        <f>+AD18*(1-Probs_Mujeres!AD18)</f>
        <v>98487.046800895288</v>
      </c>
      <c r="AE19">
        <f>+AE18*(1-Probs_Mujeres!AE18)</f>
        <v>98487.04695823988</v>
      </c>
      <c r="AF19">
        <f>+AF18*(1-Probs_Mujeres!AF18)</f>
        <v>98487.047064548038</v>
      </c>
      <c r="AG19">
        <f>+AG18*(1-Probs_Mujeres!AG18)</f>
        <v>98487.047136373949</v>
      </c>
      <c r="AH19">
        <f>+AH18*(1-Probs_Mujeres!AH18)</f>
        <v>98487.047184902374</v>
      </c>
    </row>
    <row r="20" spans="1:34" x14ac:dyDescent="0.25">
      <c r="A20">
        <f>+Probs_Hombres!A20</f>
        <v>18</v>
      </c>
      <c r="B20">
        <f>+B19*(1-Probs_Mujeres!B19)</f>
        <v>98395.861032241606</v>
      </c>
      <c r="C20">
        <f>+C19*(1-Probs_Mujeres!C19)</f>
        <v>98405.41219245462</v>
      </c>
      <c r="D20">
        <f>+D19*(1-Probs_Mujeres!D19)</f>
        <v>98411.82824099026</v>
      </c>
      <c r="E20">
        <f>+E19*(1-Probs_Mujeres!E19)</f>
        <v>98416.146337536571</v>
      </c>
      <c r="F20">
        <f>+F19*(1-Probs_Mujeres!F19)</f>
        <v>98419.056155463113</v>
      </c>
      <c r="G20">
        <f>+G19*(1-Probs_Mujeres!G19)</f>
        <v>98421.018655800974</v>
      </c>
      <c r="H20">
        <f>+H19*(1-Probs_Mujeres!H19)</f>
        <v>98422.343008991913</v>
      </c>
      <c r="I20">
        <f>+I19*(1-Probs_Mujeres!I19)</f>
        <v>98423.237069386538</v>
      </c>
      <c r="J20">
        <f>+J19*(1-Probs_Mujeres!J19)</f>
        <v>98423.840801133003</v>
      </c>
      <c r="K20">
        <f>+K19*(1-Probs_Mujeres!K19)</f>
        <v>98424.248555162703</v>
      </c>
      <c r="L20">
        <f>+L19*(1-Probs_Mujeres!L19)</f>
        <v>98424.523980944374</v>
      </c>
      <c r="M20">
        <f>+M19*(1-Probs_Mujeres!M19)</f>
        <v>98424.710037983008</v>
      </c>
      <c r="N20">
        <f>+N19*(1-Probs_Mujeres!N19)</f>
        <v>98424.835731068888</v>
      </c>
      <c r="O20">
        <f>+O19*(1-Probs_Mujeres!O19)</f>
        <v>98424.92064769553</v>
      </c>
      <c r="P20">
        <f>+P19*(1-Probs_Mujeres!P19)</f>
        <v>98424.978017705958</v>
      </c>
      <c r="Q20">
        <f>+Q19*(1-Probs_Mujeres!Q19)</f>
        <v>98425.016777767189</v>
      </c>
      <c r="R20">
        <f>+R19*(1-Probs_Mujeres!R19)</f>
        <v>98425.042964959241</v>
      </c>
      <c r="S20">
        <f>+S19*(1-Probs_Mujeres!S19)</f>
        <v>98425.060657767011</v>
      </c>
      <c r="T20">
        <f>+T19*(1-Probs_Mujeres!T19)</f>
        <v>98425.072611590629</v>
      </c>
      <c r="U20">
        <f>+U19*(1-Probs_Mujeres!U19)</f>
        <v>98425.080688002578</v>
      </c>
      <c r="V20">
        <f>+V19*(1-Probs_Mujeres!V19)</f>
        <v>98425.08614471546</v>
      </c>
      <c r="W20">
        <f>+W19*(1-Probs_Mujeres!W19)</f>
        <v>98425.089831471923</v>
      </c>
      <c r="X20">
        <f>+X19*(1-Probs_Mujeres!X19)</f>
        <v>98425.092322383192</v>
      </c>
      <c r="Y20">
        <f>+Y19*(1-Probs_Mujeres!Y19)</f>
        <v>98425.0940053378</v>
      </c>
      <c r="Z20">
        <f>+Z19*(1-Probs_Mujeres!Z19)</f>
        <v>98425.095142406601</v>
      </c>
      <c r="AA20">
        <f>+AA19*(1-Probs_Mujeres!AA19)</f>
        <v>98425.095910654243</v>
      </c>
      <c r="AB20">
        <f>+AB19*(1-Probs_Mujeres!AB19)</f>
        <v>98425.096429712183</v>
      </c>
      <c r="AC20">
        <f>+AC19*(1-Probs_Mujeres!AC19)</f>
        <v>98425.096780407868</v>
      </c>
      <c r="AD20">
        <f>+AD19*(1-Probs_Mujeres!AD19)</f>
        <v>98425.09701735164</v>
      </c>
      <c r="AE20">
        <f>+AE19*(1-Probs_Mujeres!AE19)</f>
        <v>98425.097177440068</v>
      </c>
      <c r="AF20">
        <f>+AF19*(1-Probs_Mujeres!AF19)</f>
        <v>98425.097285602067</v>
      </c>
      <c r="AG20">
        <f>+AG19*(1-Probs_Mujeres!AG19)</f>
        <v>98425.09735868049</v>
      </c>
      <c r="AH20">
        <f>+AH19*(1-Probs_Mujeres!AH19)</f>
        <v>98425.097408055182</v>
      </c>
    </row>
    <row r="21" spans="1:34" x14ac:dyDescent="0.25">
      <c r="A21">
        <f>+Probs_Hombres!A21</f>
        <v>19</v>
      </c>
      <c r="B21">
        <f>+B20*(1-Probs_Mujeres!B20)</f>
        <v>98328.72549275677</v>
      </c>
      <c r="C21">
        <f>+C20*(1-Probs_Mujeres!C20)</f>
        <v>98338.435584348161</v>
      </c>
      <c r="D21">
        <f>+D20*(1-Probs_Mujeres!D20)</f>
        <v>98344.958825747744</v>
      </c>
      <c r="E21">
        <f>+E20*(1-Probs_Mujeres!E20)</f>
        <v>98349.349260482675</v>
      </c>
      <c r="F21">
        <f>+F20*(1-Probs_Mujeres!F20)</f>
        <v>98352.30791390028</v>
      </c>
      <c r="G21">
        <f>+G20*(1-Probs_Mujeres!G20)</f>
        <v>98354.303391598587</v>
      </c>
      <c r="H21">
        <f>+H20*(1-Probs_Mujeres!H20)</f>
        <v>98355.650017456574</v>
      </c>
      <c r="I21">
        <f>+I20*(1-Probs_Mujeres!I20)</f>
        <v>98356.559122426625</v>
      </c>
      <c r="J21">
        <f>+J20*(1-Probs_Mujeres!J20)</f>
        <v>98357.173017183493</v>
      </c>
      <c r="K21">
        <f>+K20*(1-Probs_Mujeres!K20)</f>
        <v>98357.587636967713</v>
      </c>
      <c r="L21">
        <f>+L20*(1-Probs_Mujeres!L20)</f>
        <v>98357.867701168958</v>
      </c>
      <c r="M21">
        <f>+M20*(1-Probs_Mujeres!M20)</f>
        <v>98358.056891944289</v>
      </c>
      <c r="N21">
        <f>+N20*(1-Probs_Mujeres!N20)</f>
        <v>98358.184702231796</v>
      </c>
      <c r="O21">
        <f>+O20*(1-Probs_Mujeres!O20)</f>
        <v>98358.271049289135</v>
      </c>
      <c r="P21">
        <f>+P20*(1-Probs_Mujeres!P20)</f>
        <v>98358.329385739198</v>
      </c>
      <c r="Q21">
        <f>+Q20*(1-Probs_Mujeres!Q20)</f>
        <v>98358.368798757874</v>
      </c>
      <c r="R21">
        <f>+R20*(1-Probs_Mujeres!R20)</f>
        <v>98358.395427110343</v>
      </c>
      <c r="S21">
        <f>+S20*(1-Probs_Mujeres!S20)</f>
        <v>98358.413417981879</v>
      </c>
      <c r="T21">
        <f>+T20*(1-Probs_Mujeres!T20)</f>
        <v>98358.42557318839</v>
      </c>
      <c r="U21">
        <f>+U20*(1-Probs_Mujeres!U20)</f>
        <v>98358.433785662201</v>
      </c>
      <c r="V21">
        <f>+V20*(1-Probs_Mujeres!V20)</f>
        <v>98358.43933430365</v>
      </c>
      <c r="W21">
        <f>+W20*(1-Probs_Mujeres!W20)</f>
        <v>98358.443083170598</v>
      </c>
      <c r="X21">
        <f>+X20*(1-Probs_Mujeres!X20)</f>
        <v>98358.445616046112</v>
      </c>
      <c r="Y21">
        <f>+Y20*(1-Probs_Mujeres!Y20)</f>
        <v>98358.44732735338</v>
      </c>
      <c r="Z21">
        <f>+Z20*(1-Probs_Mujeres!Z20)</f>
        <v>98358.448483578351</v>
      </c>
      <c r="AA21">
        <f>+AA20*(1-Probs_Mujeres!AA20)</f>
        <v>98358.449264768642</v>
      </c>
      <c r="AB21">
        <f>+AB20*(1-Probs_Mujeres!AB20)</f>
        <v>98358.449792571162</v>
      </c>
      <c r="AC21">
        <f>+AC20*(1-Probs_Mujeres!AC20)</f>
        <v>98358.450149175012</v>
      </c>
      <c r="AD21">
        <f>+AD20*(1-Probs_Mujeres!AD20)</f>
        <v>98358.450390110564</v>
      </c>
      <c r="AE21">
        <f>+AE20*(1-Probs_Mujeres!AE20)</f>
        <v>98358.450552896</v>
      </c>
      <c r="AF21">
        <f>+AF20*(1-Probs_Mujeres!AF20)</f>
        <v>98358.450662880205</v>
      </c>
      <c r="AG21">
        <f>+AG20*(1-Probs_Mujeres!AG20)</f>
        <v>98358.450737189778</v>
      </c>
      <c r="AH21">
        <f>+AH20*(1-Probs_Mujeres!AH20)</f>
        <v>98358.450787396287</v>
      </c>
    </row>
    <row r="22" spans="1:34" x14ac:dyDescent="0.25">
      <c r="A22">
        <f>+Probs_Hombres!A22</f>
        <v>20</v>
      </c>
      <c r="B22">
        <f>+B21*(1-Probs_Mujeres!B21)</f>
        <v>98257.51740459101</v>
      </c>
      <c r="C22">
        <f>+C21*(1-Probs_Mujeres!C21)</f>
        <v>98267.340549394969</v>
      </c>
      <c r="D22">
        <f>+D21*(1-Probs_Mujeres!D21)</f>
        <v>98273.940099701882</v>
      </c>
      <c r="E22">
        <f>+E21*(1-Probs_Mujeres!E21)</f>
        <v>98278.382057758427</v>
      </c>
      <c r="F22">
        <f>+F21*(1-Probs_Mujeres!F21)</f>
        <v>98281.375506826589</v>
      </c>
      <c r="G22">
        <f>+G21*(1-Probs_Mujeres!G21)</f>
        <v>98283.394486736914</v>
      </c>
      <c r="H22">
        <f>+H21*(1-Probs_Mujeres!H21)</f>
        <v>98284.756988370296</v>
      </c>
      <c r="I22">
        <f>+I21*(1-Probs_Mujeres!I21)</f>
        <v>98285.676818156498</v>
      </c>
      <c r="J22">
        <f>+J21*(1-Probs_Mujeres!J21)</f>
        <v>98286.297958343537</v>
      </c>
      <c r="K22">
        <f>+K21*(1-Probs_Mujeres!K21)</f>
        <v>98286.717473115612</v>
      </c>
      <c r="L22">
        <f>+L21*(1-Probs_Mujeres!L21)</f>
        <v>98287.000844421433</v>
      </c>
      <c r="M22">
        <f>+M21*(1-Probs_Mujeres!M21)</f>
        <v>98287.192269541774</v>
      </c>
      <c r="N22">
        <f>+N21*(1-Probs_Mujeres!N21)</f>
        <v>98287.321589410873</v>
      </c>
      <c r="O22">
        <f>+O21*(1-Probs_Mujeres!O21)</f>
        <v>98287.408956387226</v>
      </c>
      <c r="P22">
        <f>+P21*(1-Probs_Mujeres!P21)</f>
        <v>98287.467981928377</v>
      </c>
      <c r="Q22">
        <f>+Q21*(1-Probs_Mujeres!Q21)</f>
        <v>98287.507860521146</v>
      </c>
      <c r="R22">
        <f>+R21*(1-Probs_Mujeres!R21)</f>
        <v>98287.534803432427</v>
      </c>
      <c r="S22">
        <f>+S21*(1-Probs_Mujeres!S21)</f>
        <v>98287.553006831644</v>
      </c>
      <c r="T22">
        <f>+T21*(1-Probs_Mujeres!T21)</f>
        <v>98287.565305629891</v>
      </c>
      <c r="U22">
        <f>+U21*(1-Probs_Mujeres!U21)</f>
        <v>98287.573615119778</v>
      </c>
      <c r="V22">
        <f>+V21*(1-Probs_Mujeres!V21)</f>
        <v>98287.57922930902</v>
      </c>
      <c r="W22">
        <f>+W21*(1-Probs_Mujeres!W21)</f>
        <v>98287.583022462612</v>
      </c>
      <c r="X22">
        <f>+X21*(1-Probs_Mujeres!X21)</f>
        <v>98287.585585259891</v>
      </c>
      <c r="Y22">
        <f>+Y21*(1-Probs_Mujeres!Y21)</f>
        <v>98287.58731678348</v>
      </c>
      <c r="Z22">
        <f>+Z21*(1-Probs_Mujeres!Z21)</f>
        <v>98287.588486667388</v>
      </c>
      <c r="AA22">
        <f>+AA21*(1-Probs_Mujeres!AA21)</f>
        <v>98287.589277086183</v>
      </c>
      <c r="AB22">
        <f>+AB21*(1-Probs_Mujeres!AB21)</f>
        <v>98287.589811123849</v>
      </c>
      <c r="AC22">
        <f>+AC21*(1-Probs_Mujeres!AC21)</f>
        <v>98287.590171940392</v>
      </c>
      <c r="AD22">
        <f>+AD21*(1-Probs_Mujeres!AD21)</f>
        <v>98287.59041572221</v>
      </c>
      <c r="AE22">
        <f>+AE21*(1-Probs_Mujeres!AE21)</f>
        <v>98287.590580430697</v>
      </c>
      <c r="AF22">
        <f>+AF21*(1-Probs_Mujeres!AF21)</f>
        <v>98287.590691714198</v>
      </c>
      <c r="AG22">
        <f>+AG21*(1-Probs_Mujeres!AG21)</f>
        <v>98287.590766901616</v>
      </c>
      <c r="AH22">
        <f>+AH21*(1-Probs_Mujeres!AH21)</f>
        <v>98287.590817701232</v>
      </c>
    </row>
    <row r="23" spans="1:34" x14ac:dyDescent="0.25">
      <c r="A23">
        <f>+Probs_Hombres!A23</f>
        <v>21</v>
      </c>
      <c r="B23">
        <f>+B22*(1-Probs_Mujeres!B22)</f>
        <v>98183.296559539041</v>
      </c>
      <c r="C23">
        <f>+C22*(1-Probs_Mujeres!C22)</f>
        <v>98193.200739017164</v>
      </c>
      <c r="D23">
        <f>+D22*(1-Probs_Mujeres!D22)</f>
        <v>98199.855018032133</v>
      </c>
      <c r="E23">
        <f>+E22*(1-Probs_Mujeres!E22)</f>
        <v>98204.333943049976</v>
      </c>
      <c r="F23">
        <f>+F22*(1-Probs_Mujeres!F22)</f>
        <v>98207.352363900267</v>
      </c>
      <c r="G23">
        <f>+G22*(1-Probs_Mujeres!G22)</f>
        <v>98209.388213641636</v>
      </c>
      <c r="H23">
        <f>+H22*(1-Probs_Mujeres!H22)</f>
        <v>98210.762112240074</v>
      </c>
      <c r="I23">
        <f>+I22*(1-Probs_Mujeres!I22)</f>
        <v>98211.689641826059</v>
      </c>
      <c r="J23">
        <f>+J22*(1-Probs_Mujeres!J22)</f>
        <v>98212.315984100002</v>
      </c>
      <c r="K23">
        <f>+K22*(1-Probs_Mujeres!K22)</f>
        <v>98212.739013514554</v>
      </c>
      <c r="L23">
        <f>+L22*(1-Probs_Mujeres!L22)</f>
        <v>98213.024759408829</v>
      </c>
      <c r="M23">
        <f>+M22*(1-Probs_Mujeres!M22)</f>
        <v>98213.217788875059</v>
      </c>
      <c r="N23">
        <f>+N22*(1-Probs_Mujeres!N22)</f>
        <v>98213.348192694364</v>
      </c>
      <c r="O23">
        <f>+O22*(1-Probs_Mujeres!O22)</f>
        <v>98213.436292025945</v>
      </c>
      <c r="P23">
        <f>+P22*(1-Probs_Mujeres!P22)</f>
        <v>98213.495812373134</v>
      </c>
      <c r="Q23">
        <f>+Q22*(1-Probs_Mujeres!Q22)</f>
        <v>98213.536025275404</v>
      </c>
      <c r="R23">
        <f>+R22*(1-Probs_Mujeres!R22)</f>
        <v>98213.563194058879</v>
      </c>
      <c r="S23">
        <f>+S22*(1-Probs_Mujeres!S22)</f>
        <v>98213.581550066025</v>
      </c>
      <c r="T23">
        <f>+T22*(1-Probs_Mujeres!T22)</f>
        <v>98213.593951972085</v>
      </c>
      <c r="U23">
        <f>+U22*(1-Probs_Mujeres!U22)</f>
        <v>98213.602331125599</v>
      </c>
      <c r="V23">
        <f>+V22*(1-Probs_Mujeres!V22)</f>
        <v>98213.607992382313</v>
      </c>
      <c r="W23">
        <f>+W22*(1-Probs_Mujeres!W22)</f>
        <v>98213.611817336525</v>
      </c>
      <c r="X23">
        <f>+X22*(1-Probs_Mujeres!X22)</f>
        <v>98213.614401619532</v>
      </c>
      <c r="Y23">
        <f>+Y22*(1-Probs_Mujeres!Y22)</f>
        <v>98213.616147659719</v>
      </c>
      <c r="Z23">
        <f>+Z22*(1-Probs_Mujeres!Z22)</f>
        <v>98213.617327351603</v>
      </c>
      <c r="AA23">
        <f>+AA22*(1-Probs_Mujeres!AA22)</f>
        <v>98213.618124397064</v>
      </c>
      <c r="AB23">
        <f>+AB22*(1-Probs_Mujeres!AB22)</f>
        <v>98213.618662911962</v>
      </c>
      <c r="AC23">
        <f>+AC22*(1-Probs_Mujeres!AC22)</f>
        <v>98213.619026753484</v>
      </c>
      <c r="AD23">
        <f>+AD22*(1-Probs_Mujeres!AD22)</f>
        <v>98213.619272579104</v>
      </c>
      <c r="AE23">
        <f>+AE22*(1-Probs_Mujeres!AE22)</f>
        <v>98213.619438668466</v>
      </c>
      <c r="AF23">
        <f>+AF22*(1-Probs_Mujeres!AF22)</f>
        <v>98213.619550884949</v>
      </c>
      <c r="AG23">
        <f>+AG22*(1-Probs_Mujeres!AG22)</f>
        <v>98213.619626702712</v>
      </c>
      <c r="AH23">
        <f>+AH22*(1-Probs_Mujeres!AH22)</f>
        <v>98213.619677928218</v>
      </c>
    </row>
    <row r="24" spans="1:34" x14ac:dyDescent="0.25">
      <c r="A24">
        <f>+Probs_Hombres!A24</f>
        <v>22</v>
      </c>
      <c r="B24">
        <f>+B23*(1-Probs_Mujeres!B23)</f>
        <v>98107.985516592176</v>
      </c>
      <c r="C24">
        <f>+C23*(1-Probs_Mujeres!C23)</f>
        <v>98117.968042392284</v>
      </c>
      <c r="D24">
        <f>+D23*(1-Probs_Mujeres!D23)</f>
        <v>98124.67523817232</v>
      </c>
      <c r="E24">
        <f>+E23*(1-Probs_Mujeres!E23)</f>
        <v>98129.189907944034</v>
      </c>
      <c r="F24">
        <f>+F23*(1-Probs_Mujeres!F23)</f>
        <v>98132.232475723096</v>
      </c>
      <c r="G24">
        <f>+G23*(1-Probs_Mujeres!G23)</f>
        <v>98134.28463841106</v>
      </c>
      <c r="H24">
        <f>+H23*(1-Probs_Mujeres!H23)</f>
        <v>98135.669557912712</v>
      </c>
      <c r="I24">
        <f>+I23*(1-Probs_Mujeres!I23)</f>
        <v>98136.604533303602</v>
      </c>
      <c r="J24">
        <f>+J23*(1-Probs_Mujeres!J23)</f>
        <v>98137.235906095346</v>
      </c>
      <c r="K24">
        <f>+K23*(1-Probs_Mujeres!K23)</f>
        <v>98137.662334251771</v>
      </c>
      <c r="L24">
        <f>+L23*(1-Probs_Mujeres!L23)</f>
        <v>98137.950376435794</v>
      </c>
      <c r="M24">
        <f>+M23*(1-Probs_Mujeres!M23)</f>
        <v>98138.144957350029</v>
      </c>
      <c r="N24">
        <f>+N23*(1-Probs_Mujeres!N23)</f>
        <v>98138.276409381389</v>
      </c>
      <c r="O24">
        <f>+O23*(1-Probs_Mujeres!O23)</f>
        <v>98138.365216922888</v>
      </c>
      <c r="P24">
        <f>+P23*(1-Probs_Mujeres!P23)</f>
        <v>98138.425215762967</v>
      </c>
      <c r="Q24">
        <f>+Q23*(1-Probs_Mujeres!Q23)</f>
        <v>98138.465751953088</v>
      </c>
      <c r="R24">
        <f>+R23*(1-Probs_Mujeres!R23)</f>
        <v>98138.493139162194</v>
      </c>
      <c r="S24">
        <f>+S23*(1-Probs_Mujeres!S23)</f>
        <v>98138.511642746103</v>
      </c>
      <c r="T24">
        <f>+T23*(1-Probs_Mujeres!T23)</f>
        <v>98138.524144360737</v>
      </c>
      <c r="U24">
        <f>+U23*(1-Probs_Mujeres!U23)</f>
        <v>98138.532590881237</v>
      </c>
      <c r="V24">
        <f>+V23*(1-Probs_Mujeres!V23)</f>
        <v>98138.538297653708</v>
      </c>
      <c r="W24">
        <f>+W23*(1-Probs_Mujeres!W23)</f>
        <v>98138.542153360147</v>
      </c>
      <c r="X24">
        <f>+X23*(1-Probs_Mujeres!X23)</f>
        <v>98138.544758420554</v>
      </c>
      <c r="Y24">
        <f>+Y23*(1-Probs_Mujeres!Y23)</f>
        <v>98138.54651849877</v>
      </c>
      <c r="Z24">
        <f>+Z23*(1-Probs_Mujeres!Z23)</f>
        <v>98138.547707675287</v>
      </c>
      <c r="AA24">
        <f>+AA23*(1-Probs_Mujeres!AA23)</f>
        <v>98138.548511128945</v>
      </c>
      <c r="AB24">
        <f>+AB23*(1-Probs_Mujeres!AB23)</f>
        <v>98138.549053973475</v>
      </c>
      <c r="AC24">
        <f>+AC23*(1-Probs_Mujeres!AC23)</f>
        <v>98138.549420740252</v>
      </c>
      <c r="AD24">
        <f>+AD23*(1-Probs_Mujeres!AD23)</f>
        <v>98138.549668542299</v>
      </c>
      <c r="AE24">
        <f>+AE23*(1-Probs_Mujeres!AE23)</f>
        <v>98138.549835967002</v>
      </c>
      <c r="AF24">
        <f>+AF23*(1-Probs_Mujeres!AF23)</f>
        <v>98138.549949085704</v>
      </c>
      <c r="AG24">
        <f>+AG23*(1-Probs_Mujeres!AG23)</f>
        <v>98138.550025513046</v>
      </c>
      <c r="AH24">
        <f>+AH23*(1-Probs_Mujeres!AH23)</f>
        <v>98138.550077150387</v>
      </c>
    </row>
    <row r="25" spans="1:34" x14ac:dyDescent="0.25">
      <c r="A25">
        <f>+Probs_Hombres!A25</f>
        <v>23</v>
      </c>
      <c r="B25">
        <f>+B24*(1-Probs_Mujeres!B24)</f>
        <v>98032.24541185936</v>
      </c>
      <c r="C25">
        <f>+C24*(1-Probs_Mujeres!C24)</f>
        <v>98042.309564237657</v>
      </c>
      <c r="D25">
        <f>+D24*(1-Probs_Mujeres!D24)</f>
        <v>98049.071889599276</v>
      </c>
      <c r="E25">
        <f>+E24*(1-Probs_Mujeres!E24)</f>
        <v>98053.623797614171</v>
      </c>
      <c r="F25">
        <f>+F24*(1-Probs_Mujeres!F24)</f>
        <v>98056.691520662396</v>
      </c>
      <c r="G25">
        <f>+G24*(1-Probs_Mujeres!G24)</f>
        <v>98058.760677242783</v>
      </c>
      <c r="H25">
        <f>+H24*(1-Probs_Mujeres!H24)</f>
        <v>98060.157077571392</v>
      </c>
      <c r="I25">
        <f>+I24*(1-Probs_Mujeres!I24)</f>
        <v>98061.099809441235</v>
      </c>
      <c r="J25">
        <f>+J24*(1-Probs_Mujeres!J24)</f>
        <v>98061.736422623086</v>
      </c>
      <c r="K25">
        <f>+K24*(1-Probs_Mujeres!K24)</f>
        <v>98062.166391305072</v>
      </c>
      <c r="L25">
        <f>+L24*(1-Probs_Mujeres!L24)</f>
        <v>98062.456825566929</v>
      </c>
      <c r="M25">
        <f>+M24*(1-Probs_Mujeres!M24)</f>
        <v>98062.653022644401</v>
      </c>
      <c r="N25">
        <f>+N24*(1-Probs_Mujeres!N24)</f>
        <v>98062.78556661059</v>
      </c>
      <c r="O25">
        <f>+O24*(1-Probs_Mujeres!O24)</f>
        <v>98062.875111902205</v>
      </c>
      <c r="P25">
        <f>+P24*(1-Probs_Mujeres!P24)</f>
        <v>98062.935609193402</v>
      </c>
      <c r="Q25">
        <f>+Q24*(1-Probs_Mujeres!Q24)</f>
        <v>98062.97648215582</v>
      </c>
      <c r="R25">
        <f>+R24*(1-Probs_Mujeres!R24)</f>
        <v>98063.004096901102</v>
      </c>
      <c r="S25">
        <f>+S24*(1-Probs_Mujeres!S24)</f>
        <v>98063.022754217192</v>
      </c>
      <c r="T25">
        <f>+T24*(1-Probs_Mujeres!T24)</f>
        <v>98063.035359699235</v>
      </c>
      <c r="U25">
        <f>+U24*(1-Probs_Mujeres!U24)</f>
        <v>98063.043876396579</v>
      </c>
      <c r="V25">
        <f>+V24*(1-Probs_Mujeres!V24)</f>
        <v>98063.049630583264</v>
      </c>
      <c r="W25">
        <f>+W24*(1-Probs_Mujeres!W24)</f>
        <v>98063.053518324596</v>
      </c>
      <c r="X25">
        <f>+X24*(1-Probs_Mujeres!X24)</f>
        <v>98063.056145029026</v>
      </c>
      <c r="Y25">
        <f>+Y24*(1-Probs_Mujeres!Y24)</f>
        <v>98063.057919730782</v>
      </c>
      <c r="Z25">
        <f>+Z24*(1-Probs_Mujeres!Z24)</f>
        <v>98063.05911878754</v>
      </c>
      <c r="AA25">
        <f>+AA24*(1-Probs_Mujeres!AA24)</f>
        <v>98063.059928916671</v>
      </c>
      <c r="AB25">
        <f>+AB24*(1-Probs_Mujeres!AB24)</f>
        <v>98063.060476271407</v>
      </c>
      <c r="AC25">
        <f>+AC24*(1-Probs_Mujeres!AC24)</f>
        <v>98063.060846085471</v>
      </c>
      <c r="AD25">
        <f>+AD24*(1-Probs_Mujeres!AD24)</f>
        <v>98063.061095946367</v>
      </c>
      <c r="AE25">
        <f>+AE24*(1-Probs_Mujeres!AE24)</f>
        <v>98063.061264762131</v>
      </c>
      <c r="AF25">
        <f>+AF24*(1-Probs_Mujeres!AF24)</f>
        <v>98063.061378820668</v>
      </c>
      <c r="AG25">
        <f>+AG24*(1-Probs_Mujeres!AG24)</f>
        <v>98063.061455883013</v>
      </c>
      <c r="AH25">
        <f>+AH24*(1-Probs_Mujeres!AH24)</f>
        <v>98063.061507949373</v>
      </c>
    </row>
    <row r="26" spans="1:34" x14ac:dyDescent="0.25">
      <c r="A26">
        <f>+Probs_Hombres!A26</f>
        <v>24</v>
      </c>
      <c r="B26">
        <f>+B25*(1-Probs_Mujeres!B25)</f>
        <v>97955.055279711814</v>
      </c>
      <c r="C26">
        <f>+C25*(1-Probs_Mujeres!C25)</f>
        <v>97965.179699170389</v>
      </c>
      <c r="D26">
        <f>+D25*(1-Probs_Mujeres!D25)</f>
        <v>97971.982746577924</v>
      </c>
      <c r="E26">
        <f>+E25*(1-Probs_Mujeres!E25)</f>
        <v>97976.562169390862</v>
      </c>
      <c r="F26">
        <f>+F25*(1-Probs_Mujeres!F25)</f>
        <v>97979.648483119687</v>
      </c>
      <c r="G26">
        <f>+G25*(1-Probs_Mujeres!G25)</f>
        <v>97981.730200559454</v>
      </c>
      <c r="H26">
        <f>+H25*(1-Probs_Mujeres!H25)</f>
        <v>97983.135087615912</v>
      </c>
      <c r="I26">
        <f>+I25*(1-Probs_Mujeres!I25)</f>
        <v>97984.083553504999</v>
      </c>
      <c r="J26">
        <f>+J25*(1-Probs_Mujeres!J25)</f>
        <v>97984.724040838963</v>
      </c>
      <c r="K26">
        <f>+K25*(1-Probs_Mujeres!K25)</f>
        <v>97985.156627060729</v>
      </c>
      <c r="L26">
        <f>+L25*(1-Probs_Mujeres!L25)</f>
        <v>97985.448829839908</v>
      </c>
      <c r="M26">
        <f>+M25*(1-Probs_Mujeres!M25)</f>
        <v>97985.646221799165</v>
      </c>
      <c r="N26">
        <f>+N25*(1-Probs_Mujeres!N25)</f>
        <v>97985.779573075299</v>
      </c>
      <c r="O26">
        <f>+O25*(1-Probs_Mujeres!O25)</f>
        <v>97985.869663817561</v>
      </c>
      <c r="P26">
        <f>+P25*(1-Probs_Mujeres!P25)</f>
        <v>97985.930529636782</v>
      </c>
      <c r="Q26">
        <f>+Q25*(1-Probs_Mujeres!Q25)</f>
        <v>97985.971651591259</v>
      </c>
      <c r="R26">
        <f>+R25*(1-Probs_Mujeres!R25)</f>
        <v>97985.999434565354</v>
      </c>
      <c r="S26">
        <f>+S25*(1-Probs_Mujeres!S25)</f>
        <v>97986.018205543442</v>
      </c>
      <c r="T26">
        <f>+T25*(1-Probs_Mujeres!T25)</f>
        <v>97986.030887819987</v>
      </c>
      <c r="U26">
        <f>+U25*(1-Probs_Mujeres!U25)</f>
        <v>97986.039456402694</v>
      </c>
      <c r="V26">
        <f>+V25*(1-Probs_Mujeres!V25)</f>
        <v>97986.045245645189</v>
      </c>
      <c r="W26">
        <f>+W25*(1-Probs_Mujeres!W25)</f>
        <v>97986.049157071582</v>
      </c>
      <c r="X26">
        <f>+X25*(1-Probs_Mujeres!X25)</f>
        <v>97986.051799778565</v>
      </c>
      <c r="Y26">
        <f>+Y25*(1-Probs_Mujeres!Y25)</f>
        <v>97986.053585292277</v>
      </c>
      <c r="Z26">
        <f>+Z25*(1-Probs_Mujeres!Z25)</f>
        <v>97986.054791654009</v>
      </c>
      <c r="AA26">
        <f>+AA25*(1-Probs_Mujeres!AA25)</f>
        <v>97986.05560671867</v>
      </c>
      <c r="AB26">
        <f>+AB25*(1-Probs_Mujeres!AB25)</f>
        <v>97986.056157408049</v>
      </c>
      <c r="AC26">
        <f>+AC25*(1-Probs_Mujeres!AC25)</f>
        <v>97986.056529475129</v>
      </c>
      <c r="AD26">
        <f>+AD25*(1-Probs_Mujeres!AD25)</f>
        <v>97986.056780858242</v>
      </c>
      <c r="AE26">
        <f>+AE25*(1-Probs_Mujeres!AE25)</f>
        <v>97986.056950702477</v>
      </c>
      <c r="AF26">
        <f>+AF25*(1-Probs_Mujeres!AF25)</f>
        <v>97986.057065455883</v>
      </c>
      <c r="AG26">
        <f>+AG25*(1-Probs_Mujeres!AG25)</f>
        <v>97986.057142987716</v>
      </c>
      <c r="AH26">
        <f>+AH25*(1-Probs_Mujeres!AH25)</f>
        <v>97986.057195371279</v>
      </c>
    </row>
    <row r="27" spans="1:34" x14ac:dyDescent="0.25">
      <c r="A27">
        <f>+Probs_Hombres!A27</f>
        <v>25</v>
      </c>
      <c r="B27">
        <f>+B26*(1-Probs_Mujeres!B26)</f>
        <v>97875.586523919599</v>
      </c>
      <c r="C27">
        <f>+C26*(1-Probs_Mujeres!C26)</f>
        <v>97885.757888659602</v>
      </c>
      <c r="D27">
        <f>+D26*(1-Probs_Mujeres!D26)</f>
        <v>97892.592669237711</v>
      </c>
      <c r="E27">
        <f>+E26*(1-Probs_Mujeres!E26)</f>
        <v>97897.193539022584</v>
      </c>
      <c r="F27">
        <f>+F26*(1-Probs_Mujeres!F26)</f>
        <v>97900.294346240451</v>
      </c>
      <c r="G27">
        <f>+G26*(1-Probs_Mujeres!G26)</f>
        <v>97902.385857443718</v>
      </c>
      <c r="H27">
        <f>+H26*(1-Probs_Mujeres!H26)</f>
        <v>97903.79736218421</v>
      </c>
      <c r="I27">
        <f>+I26*(1-Probs_Mujeres!I26)</f>
        <v>97904.750299528241</v>
      </c>
      <c r="J27">
        <f>+J26*(1-Probs_Mujeres!J26)</f>
        <v>97905.393808083652</v>
      </c>
      <c r="K27">
        <f>+K26*(1-Probs_Mujeres!K26)</f>
        <v>97905.828435620817</v>
      </c>
      <c r="L27">
        <f>+L26*(1-Probs_Mujeres!L26)</f>
        <v>97906.122017619899</v>
      </c>
      <c r="M27">
        <f>+M26*(1-Probs_Mujeres!M26)</f>
        <v>97906.320341446568</v>
      </c>
      <c r="N27">
        <f>+N26*(1-Probs_Mujeres!N26)</f>
        <v>97906.454322334495</v>
      </c>
      <c r="O27">
        <f>+O26*(1-Probs_Mujeres!O26)</f>
        <v>97906.544838469708</v>
      </c>
      <c r="P27">
        <f>+P26*(1-Probs_Mujeres!P26)</f>
        <v>97906.60599170225</v>
      </c>
      <c r="Q27">
        <f>+Q26*(1-Probs_Mujeres!Q26)</f>
        <v>97906.647307844949</v>
      </c>
      <c r="R27">
        <f>+R26*(1-Probs_Mujeres!R26)</f>
        <v>97906.675222020451</v>
      </c>
      <c r="S27">
        <f>+S26*(1-Probs_Mujeres!S26)</f>
        <v>97906.694081643465</v>
      </c>
      <c r="T27">
        <f>+T26*(1-Probs_Mujeres!T26)</f>
        <v>97906.706823812041</v>
      </c>
      <c r="U27">
        <f>+U26*(1-Probs_Mujeres!U26)</f>
        <v>97906.715432860161</v>
      </c>
      <c r="V27">
        <f>+V26*(1-Probs_Mujeres!V26)</f>
        <v>97906.721249442693</v>
      </c>
      <c r="W27">
        <f>+W26*(1-Probs_Mujeres!W26)</f>
        <v>97906.725179341083</v>
      </c>
      <c r="X27">
        <f>+X26*(1-Probs_Mujeres!X26)</f>
        <v>97906.727834528487</v>
      </c>
      <c r="Y27">
        <f>+Y26*(1-Probs_Mujeres!Y26)</f>
        <v>97906.729628474452</v>
      </c>
      <c r="Z27">
        <f>+Z26*(1-Probs_Mujeres!Z26)</f>
        <v>97906.730840533346</v>
      </c>
      <c r="AA27">
        <f>+AA26*(1-Probs_Mujeres!AA26)</f>
        <v>97906.731659447221</v>
      </c>
      <c r="AB27">
        <f>+AB26*(1-Probs_Mujeres!AB26)</f>
        <v>97906.73221273729</v>
      </c>
      <c r="AC27">
        <f>+AC26*(1-Probs_Mujeres!AC26)</f>
        <v>97906.732586561498</v>
      </c>
      <c r="AD27">
        <f>+AD26*(1-Probs_Mujeres!AD26)</f>
        <v>97906.732839131801</v>
      </c>
      <c r="AE27">
        <f>+AE26*(1-Probs_Mujeres!AE26)</f>
        <v>97906.733009778138</v>
      </c>
      <c r="AF27">
        <f>+AF26*(1-Probs_Mujeres!AF26)</f>
        <v>97906.733125073471</v>
      </c>
      <c r="AG27">
        <f>+AG26*(1-Probs_Mujeres!AG26)</f>
        <v>97906.73320297146</v>
      </c>
      <c r="AH27">
        <f>+AH26*(1-Probs_Mujeres!AH26)</f>
        <v>97906.733255602419</v>
      </c>
    </row>
    <row r="28" spans="1:34" x14ac:dyDescent="0.25">
      <c r="A28">
        <f>+Probs_Hombres!A28</f>
        <v>26</v>
      </c>
      <c r="B28">
        <f>+B27*(1-Probs_Mujeres!B27)</f>
        <v>97793.828166395469</v>
      </c>
      <c r="C28">
        <f>+C27*(1-Probs_Mujeres!C27)</f>
        <v>97804.046675949998</v>
      </c>
      <c r="D28">
        <f>+D27*(1-Probs_Mujeres!D27)</f>
        <v>97810.91332572687</v>
      </c>
      <c r="E28">
        <f>+E27*(1-Probs_Mujeres!E27)</f>
        <v>97815.535734942197</v>
      </c>
      <c r="F28">
        <f>+F27*(1-Probs_Mujeres!F27)</f>
        <v>97818.651098369141</v>
      </c>
      <c r="G28">
        <f>+G27*(1-Probs_Mujeres!G27)</f>
        <v>97820.752445826569</v>
      </c>
      <c r="H28">
        <f>+H27*(1-Probs_Mujeres!H27)</f>
        <v>97822.17059701166</v>
      </c>
      <c r="I28">
        <f>+I27*(1-Probs_Mujeres!I27)</f>
        <v>97823.128025266225</v>
      </c>
      <c r="J28">
        <f>+J27*(1-Probs_Mujeres!J27)</f>
        <v>97823.774568198918</v>
      </c>
      <c r="K28">
        <f>+K27*(1-Probs_Mujeres!K27)</f>
        <v>97824.211245945015</v>
      </c>
      <c r="L28">
        <f>+L27*(1-Probs_Mujeres!L27)</f>
        <v>97824.506213175104</v>
      </c>
      <c r="M28">
        <f>+M27*(1-Probs_Mujeres!M27)</f>
        <v>97824.705472931542</v>
      </c>
      <c r="N28">
        <f>+N27*(1-Probs_Mujeres!N27)</f>
        <v>97824.840086176409</v>
      </c>
      <c r="O28">
        <f>+O27*(1-Probs_Mujeres!O27)</f>
        <v>97824.931029559535</v>
      </c>
      <c r="P28">
        <f>+P27*(1-Probs_Mujeres!P27)</f>
        <v>97824.992471458769</v>
      </c>
      <c r="Q28">
        <f>+Q27*(1-Probs_Mujeres!Q27)</f>
        <v>97825.033982636567</v>
      </c>
      <c r="R28">
        <f>+R27*(1-Probs_Mujeres!R27)</f>
        <v>97825.062028585686</v>
      </c>
      <c r="S28">
        <f>+S27*(1-Probs_Mujeres!S27)</f>
        <v>97825.080977240228</v>
      </c>
      <c r="T28">
        <f>+T27*(1-Probs_Mujeres!T27)</f>
        <v>97825.093779562041</v>
      </c>
      <c r="U28">
        <f>+U27*(1-Probs_Mujeres!U27)</f>
        <v>97825.102429252074</v>
      </c>
      <c r="V28">
        <f>+V27*(1-Probs_Mujeres!V27)</f>
        <v>97825.108273293881</v>
      </c>
      <c r="W28">
        <f>+W27*(1-Probs_Mujeres!W27)</f>
        <v>97825.112221744843</v>
      </c>
      <c r="X28">
        <f>+X27*(1-Probs_Mujeres!X27)</f>
        <v>97825.114889467091</v>
      </c>
      <c r="Y28">
        <f>+Y27*(1-Probs_Mujeres!Y27)</f>
        <v>97825.116691882082</v>
      </c>
      <c r="Z28">
        <f>+Z27*(1-Probs_Mujeres!Z27)</f>
        <v>97825.117909662978</v>
      </c>
      <c r="AA28">
        <f>+AA27*(1-Probs_Mujeres!AA27)</f>
        <v>97825.118732442876</v>
      </c>
      <c r="AB28">
        <f>+AB27*(1-Probs_Mujeres!AB27)</f>
        <v>97825.119288344969</v>
      </c>
      <c r="AC28">
        <f>+AC27*(1-Probs_Mujeres!AC27)</f>
        <v>97825.119663933976</v>
      </c>
      <c r="AD28">
        <f>+AD27*(1-Probs_Mujeres!AD27)</f>
        <v>97825.119917696633</v>
      </c>
      <c r="AE28">
        <f>+AE27*(1-Probs_Mujeres!AE27)</f>
        <v>97825.120089148579</v>
      </c>
      <c r="AF28">
        <f>+AF27*(1-Probs_Mujeres!AF27)</f>
        <v>97825.120204988212</v>
      </c>
      <c r="AG28">
        <f>+AG27*(1-Probs_Mujeres!AG27)</f>
        <v>97825.120283253942</v>
      </c>
      <c r="AH28">
        <f>+AH27*(1-Probs_Mujeres!AH27)</f>
        <v>97825.120336133376</v>
      </c>
    </row>
    <row r="29" spans="1:34" x14ac:dyDescent="0.25">
      <c r="A29">
        <f>+Probs_Hombres!A29</f>
        <v>27</v>
      </c>
      <c r="B29">
        <f>+B28*(1-Probs_Mujeres!B28)</f>
        <v>97710.516216866759</v>
      </c>
      <c r="C29">
        <f>+C28*(1-Probs_Mujeres!C28)</f>
        <v>97720.799940288023</v>
      </c>
      <c r="D29">
        <f>+D28*(1-Probs_Mujeres!D28)</f>
        <v>97727.710654529859</v>
      </c>
      <c r="E29">
        <f>+E28*(1-Probs_Mujeres!E28)</f>
        <v>97732.362836885513</v>
      </c>
      <c r="F29">
        <f>+F28*(1-Probs_Mujeres!F28)</f>
        <v>97735.498316848621</v>
      </c>
      <c r="G29">
        <f>+G28*(1-Probs_Mujeres!G28)</f>
        <v>97737.613256106677</v>
      </c>
      <c r="H29">
        <f>+H28*(1-Probs_Mujeres!H28)</f>
        <v>97739.040590569814</v>
      </c>
      <c r="I29">
        <f>+I28*(1-Probs_Mujeres!I28)</f>
        <v>97740.004223462864</v>
      </c>
      <c r="J29">
        <f>+J28*(1-Probs_Mujeres!J28)</f>
        <v>97740.654958517611</v>
      </c>
      <c r="K29">
        <f>+K28*(1-Probs_Mujeres!K28)</f>
        <v>97741.094468636991</v>
      </c>
      <c r="L29">
        <f>+L28*(1-Probs_Mujeres!L28)</f>
        <v>97741.391349534562</v>
      </c>
      <c r="M29">
        <f>+M28*(1-Probs_Mujeres!M28)</f>
        <v>97741.591902242013</v>
      </c>
      <c r="N29">
        <f>+N28*(1-Probs_Mujeres!N28)</f>
        <v>97741.727389056279</v>
      </c>
      <c r="O29">
        <f>+O28*(1-Probs_Mujeres!O28)</f>
        <v>97741.818922657563</v>
      </c>
      <c r="P29">
        <f>+P28*(1-Probs_Mujeres!P28)</f>
        <v>97741.880763331515</v>
      </c>
      <c r="Q29">
        <f>+Q28*(1-Probs_Mujeres!Q28)</f>
        <v>97741.922543937224</v>
      </c>
      <c r="R29">
        <f>+R28*(1-Probs_Mujeres!R28)</f>
        <v>97741.95077192242</v>
      </c>
      <c r="S29">
        <f>+S28*(1-Probs_Mujeres!S28)</f>
        <v>97741.969843567684</v>
      </c>
      <c r="T29">
        <f>+T28*(1-Probs_Mujeres!T28)</f>
        <v>97741.982728986855</v>
      </c>
      <c r="U29">
        <f>+U28*(1-Probs_Mujeres!U28)</f>
        <v>97741.991434820724</v>
      </c>
      <c r="V29">
        <f>+V28*(1-Probs_Mujeres!V28)</f>
        <v>97741.997316795503</v>
      </c>
      <c r="W29">
        <f>+W28*(1-Probs_Mujeres!W28)</f>
        <v>97742.001290875458</v>
      </c>
      <c r="X29">
        <f>+X28*(1-Probs_Mujeres!X28)</f>
        <v>97742.003975913671</v>
      </c>
      <c r="Y29">
        <f>+Y28*(1-Probs_Mujeres!Y28)</f>
        <v>97742.005790027993</v>
      </c>
      <c r="Z29">
        <f>+Z28*(1-Probs_Mujeres!Z28)</f>
        <v>97742.007015713418</v>
      </c>
      <c r="AA29">
        <f>+AA28*(1-Probs_Mujeres!AA28)</f>
        <v>97742.007843833926</v>
      </c>
      <c r="AB29">
        <f>+AB28*(1-Probs_Mujeres!AB28)</f>
        <v>97742.008403344342</v>
      </c>
      <c r="AC29">
        <f>+AC28*(1-Probs_Mujeres!AC28)</f>
        <v>97742.008781371274</v>
      </c>
      <c r="AD29">
        <f>+AD28*(1-Probs_Mujeres!AD28)</f>
        <v>97742.009036781092</v>
      </c>
      <c r="AE29">
        <f>+AE28*(1-Probs_Mujeres!AE28)</f>
        <v>97742.009209345924</v>
      </c>
      <c r="AF29">
        <f>+AF28*(1-Probs_Mujeres!AF28)</f>
        <v>97742.00932593747</v>
      </c>
      <c r="AG29">
        <f>+AG28*(1-Probs_Mujeres!AG28)</f>
        <v>97742.009404711207</v>
      </c>
      <c r="AH29">
        <f>+AH28*(1-Probs_Mujeres!AH28)</f>
        <v>97742.009457933891</v>
      </c>
    </row>
    <row r="30" spans="1:34" x14ac:dyDescent="0.25">
      <c r="A30">
        <f>+Probs_Hombres!A30</f>
        <v>28</v>
      </c>
      <c r="B30">
        <f>+B29*(1-Probs_Mujeres!B29)</f>
        <v>97625.482788369816</v>
      </c>
      <c r="C30">
        <f>+C29*(1-Probs_Mujeres!C29)</f>
        <v>97635.849575210552</v>
      </c>
      <c r="D30">
        <f>+D29*(1-Probs_Mujeres!D29)</f>
        <v>97642.816397435206</v>
      </c>
      <c r="E30">
        <f>+E29*(1-Probs_Mujeres!E29)</f>
        <v>97647.506482543613</v>
      </c>
      <c r="F30">
        <f>+F29*(1-Probs_Mujeres!F29)</f>
        <v>97650.667568321602</v>
      </c>
      <c r="G30">
        <f>+G29*(1-Probs_Mujeres!G29)</f>
        <v>97652.79980659709</v>
      </c>
      <c r="H30">
        <f>+H29*(1-Probs_Mujeres!H29)</f>
        <v>97654.238828369285</v>
      </c>
      <c r="I30">
        <f>+I29*(1-Probs_Mujeres!I29)</f>
        <v>97655.210357398159</v>
      </c>
      <c r="J30">
        <f>+J29*(1-Probs_Mujeres!J29)</f>
        <v>97655.866427268877</v>
      </c>
      <c r="K30">
        <f>+K29*(1-Probs_Mujeres!K29)</f>
        <v>97656.309541742725</v>
      </c>
      <c r="L30">
        <f>+L29*(1-Probs_Mujeres!L29)</f>
        <v>97656.60885785766</v>
      </c>
      <c r="M30">
        <f>+M29*(1-Probs_Mujeres!M29)</f>
        <v>97656.811055881568</v>
      </c>
      <c r="N30">
        <f>+N29*(1-Probs_Mujeres!N29)</f>
        <v>97656.947654330696</v>
      </c>
      <c r="O30">
        <f>+O29*(1-Probs_Mujeres!O29)</f>
        <v>97657.039938993548</v>
      </c>
      <c r="P30">
        <f>+P29*(1-Probs_Mujeres!P29)</f>
        <v>97657.102287112968</v>
      </c>
      <c r="Q30">
        <f>+Q29*(1-Probs_Mujeres!Q29)</f>
        <v>97657.144410568188</v>
      </c>
      <c r="R30">
        <f>+R29*(1-Probs_Mujeres!R29)</f>
        <v>97657.172870195718</v>
      </c>
      <c r="S30">
        <f>+S29*(1-Probs_Mujeres!S29)</f>
        <v>97657.192098347485</v>
      </c>
      <c r="T30">
        <f>+T29*(1-Probs_Mujeres!T29)</f>
        <v>97657.205089508527</v>
      </c>
      <c r="U30">
        <f>+U29*(1-Probs_Mujeres!U29)</f>
        <v>97657.213866785722</v>
      </c>
      <c r="V30">
        <f>+V29*(1-Probs_Mujeres!V29)</f>
        <v>97657.219797030397</v>
      </c>
      <c r="W30">
        <f>+W29*(1-Probs_Mujeres!W29)</f>
        <v>97657.223803723376</v>
      </c>
      <c r="X30">
        <f>+X29*(1-Probs_Mujeres!X29)</f>
        <v>97657.226510796216</v>
      </c>
      <c r="Y30">
        <f>+Y29*(1-Probs_Mujeres!Y29)</f>
        <v>97657.228339798006</v>
      </c>
      <c r="Z30">
        <f>+Z29*(1-Probs_Mujeres!Z29)</f>
        <v>97657.229575541976</v>
      </c>
      <c r="AA30">
        <f>+AA29*(1-Probs_Mujeres!AA29)</f>
        <v>97657.230410458433</v>
      </c>
      <c r="AB30">
        <f>+AB29*(1-Probs_Mujeres!AB29)</f>
        <v>97657.230974560458</v>
      </c>
      <c r="AC30">
        <f>+AC29*(1-Probs_Mujeres!AC29)</f>
        <v>97657.23135568967</v>
      </c>
      <c r="AD30">
        <f>+AD29*(1-Probs_Mujeres!AD29)</f>
        <v>97657.231613195501</v>
      </c>
      <c r="AE30">
        <f>+AE29*(1-Probs_Mujeres!AE29)</f>
        <v>97657.231787176497</v>
      </c>
      <c r="AF30">
        <f>+AF29*(1-Probs_Mujeres!AF29)</f>
        <v>97657.231904724831</v>
      </c>
      <c r="AG30">
        <f>+AG29*(1-Probs_Mujeres!AG29)</f>
        <v>97657.231984145037</v>
      </c>
      <c r="AH30">
        <f>+AH29*(1-Probs_Mujeres!AH29)</f>
        <v>97657.232037804482</v>
      </c>
    </row>
    <row r="31" spans="1:34" x14ac:dyDescent="0.25">
      <c r="A31">
        <f>+Probs_Hombres!A31</f>
        <v>29</v>
      </c>
      <c r="B31">
        <f>+B30*(1-Probs_Mujeres!B30)</f>
        <v>97537.373776182532</v>
      </c>
      <c r="C31">
        <f>+C30*(1-Probs_Mujeres!C30)</f>
        <v>97547.817510093635</v>
      </c>
      <c r="D31">
        <f>+D30*(1-Probs_Mujeres!D30)</f>
        <v>97554.836316995687</v>
      </c>
      <c r="E31">
        <f>+E30*(1-Probs_Mujeres!E30)</f>
        <v>97559.561523157798</v>
      </c>
      <c r="F31">
        <f>+F30*(1-Probs_Mujeres!F30)</f>
        <v>97562.746337226898</v>
      </c>
      <c r="G31">
        <f>+G30*(1-Probs_Mujeres!G30)</f>
        <v>97564.894606858623</v>
      </c>
      <c r="H31">
        <f>+H30*(1-Probs_Mujeres!H30)</f>
        <v>97566.344459854139</v>
      </c>
      <c r="I31">
        <f>+I30*(1-Probs_Mujeres!I30)</f>
        <v>97567.323306794467</v>
      </c>
      <c r="J31">
        <f>+J30*(1-Probs_Mujeres!J30)</f>
        <v>97567.984320892559</v>
      </c>
      <c r="K31">
        <f>+K30*(1-Probs_Mujeres!K30)</f>
        <v>97568.430775861591</v>
      </c>
      <c r="L31">
        <f>+L30*(1-Probs_Mujeres!L30)</f>
        <v>97568.732348937381</v>
      </c>
      <c r="M31">
        <f>+M30*(1-Probs_Mujeres!M30)</f>
        <v>97568.93607184854</v>
      </c>
      <c r="N31">
        <f>+N30*(1-Probs_Mujeres!N30)</f>
        <v>97569.07370056941</v>
      </c>
      <c r="O31">
        <f>+O30*(1-Probs_Mujeres!O30)</f>
        <v>97569.166681323361</v>
      </c>
      <c r="P31">
        <f>+P30*(1-Probs_Mujeres!P30)</f>
        <v>97569.229499748806</v>
      </c>
      <c r="Q31">
        <f>+Q30*(1-Probs_Mujeres!Q30)</f>
        <v>97569.271940961014</v>
      </c>
      <c r="R31">
        <f>+R30*(1-Probs_Mujeres!R30)</f>
        <v>97569.30061527752</v>
      </c>
      <c r="S31">
        <f>+S30*(1-Probs_Mujeres!S30)</f>
        <v>97569.319988481526</v>
      </c>
      <c r="T31">
        <f>+T30*(1-Probs_Mujeres!T30)</f>
        <v>97569.333077645511</v>
      </c>
      <c r="U31">
        <f>+U30*(1-Probs_Mujeres!U30)</f>
        <v>97569.34192113734</v>
      </c>
      <c r="V31">
        <f>+V30*(1-Probs_Mujeres!V30)</f>
        <v>97569.347896119201</v>
      </c>
      <c r="W31">
        <f>+W30*(1-Probs_Mujeres!W30)</f>
        <v>97569.351933038371</v>
      </c>
      <c r="X31">
        <f>+X30*(1-Probs_Mujeres!X30)</f>
        <v>97569.354660533209</v>
      </c>
      <c r="Y31">
        <f>+Y30*(1-Probs_Mujeres!Y30)</f>
        <v>97569.356503332907</v>
      </c>
      <c r="Z31">
        <f>+Z30*(1-Probs_Mujeres!Z30)</f>
        <v>97569.357748399285</v>
      </c>
      <c r="AA31">
        <f>+AA30*(1-Probs_Mujeres!AA30)</f>
        <v>97569.358589614319</v>
      </c>
      <c r="AB31">
        <f>+AB30*(1-Probs_Mujeres!AB30)</f>
        <v>97569.359157971907</v>
      </c>
      <c r="AC31">
        <f>+AC30*(1-Probs_Mujeres!AC30)</f>
        <v>97569.35954197633</v>
      </c>
      <c r="AD31">
        <f>+AD30*(1-Probs_Mujeres!AD30)</f>
        <v>97569.359801424784</v>
      </c>
      <c r="AE31">
        <f>+AE30*(1-Probs_Mujeres!AE30)</f>
        <v>97569.35997671829</v>
      </c>
      <c r="AF31">
        <f>+AF30*(1-Probs_Mujeres!AF30)</f>
        <v>97569.360095153403</v>
      </c>
      <c r="AG31">
        <f>+AG30*(1-Probs_Mujeres!AG30)</f>
        <v>97569.360175172755</v>
      </c>
      <c r="AH31">
        <f>+AH30*(1-Probs_Mujeres!AH30)</f>
        <v>97569.360229237005</v>
      </c>
    </row>
    <row r="32" spans="1:34" x14ac:dyDescent="0.25">
      <c r="A32">
        <f>+Probs_Hombres!A32</f>
        <v>30</v>
      </c>
      <c r="B32">
        <f>+B31*(1-Probs_Mujeres!B31)</f>
        <v>97445.451120940255</v>
      </c>
      <c r="C32">
        <f>+C31*(1-Probs_Mujeres!C31)</f>
        <v>97455.960127327868</v>
      </c>
      <c r="D32">
        <f>+D31*(1-Probs_Mujeres!D31)</f>
        <v>97463.023044431044</v>
      </c>
      <c r="E32">
        <f>+E31*(1-Probs_Mujeres!E31)</f>
        <v>97467.778057426156</v>
      </c>
      <c r="F32">
        <f>+F31*(1-Probs_Mujeres!F31)</f>
        <v>97470.983012066747</v>
      </c>
      <c r="G32">
        <f>+G31*(1-Probs_Mujeres!G31)</f>
        <v>97473.144890317664</v>
      </c>
      <c r="H32">
        <f>+H31*(1-Probs_Mujeres!H31)</f>
        <v>97474.603938218672</v>
      </c>
      <c r="I32">
        <f>+I31*(1-Probs_Mujeres!I31)</f>
        <v>97475.588997773943</v>
      </c>
      <c r="J32">
        <f>+J31*(1-Probs_Mujeres!J31)</f>
        <v>97476.25420943831</v>
      </c>
      <c r="K32">
        <f>+K31*(1-Probs_Mujeres!K31)</f>
        <v>97476.703500484015</v>
      </c>
      <c r="L32">
        <f>+L31*(1-Probs_Mujeres!L31)</f>
        <v>97477.006989740898</v>
      </c>
      <c r="M32">
        <f>+M31*(1-Probs_Mujeres!M31)</f>
        <v>97477.212007306589</v>
      </c>
      <c r="N32">
        <f>+N31*(1-Probs_Mujeres!N31)</f>
        <v>97477.350510750213</v>
      </c>
      <c r="O32">
        <f>+O31*(1-Probs_Mujeres!O31)</f>
        <v>97477.444082502669</v>
      </c>
      <c r="P32">
        <f>+P31*(1-Probs_Mujeres!P31)</f>
        <v>97477.507300230558</v>
      </c>
      <c r="Q32">
        <f>+Q31*(1-Probs_Mujeres!Q31)</f>
        <v>97477.550011227431</v>
      </c>
      <c r="R32">
        <f>+R31*(1-Probs_Mujeres!R31)</f>
        <v>97477.578867821183</v>
      </c>
      <c r="S32">
        <f>+S31*(1-Probs_Mujeres!S31)</f>
        <v>97477.598364178906</v>
      </c>
      <c r="T32">
        <f>+T31*(1-Probs_Mujeres!T31)</f>
        <v>97477.611536550379</v>
      </c>
      <c r="U32">
        <f>+U31*(1-Probs_Mujeres!U31)</f>
        <v>97477.620436260462</v>
      </c>
      <c r="V32">
        <f>+V31*(1-Probs_Mujeres!V31)</f>
        <v>97477.626449225587</v>
      </c>
      <c r="W32">
        <f>+W31*(1-Probs_Mujeres!W31)</f>
        <v>97477.630511807729</v>
      </c>
      <c r="X32">
        <f>+X31*(1-Probs_Mujeres!X31)</f>
        <v>97477.633256641479</v>
      </c>
      <c r="Y32">
        <f>+Y31*(1-Probs_Mujeres!Y31)</f>
        <v>97477.635111156022</v>
      </c>
      <c r="Z32">
        <f>+Z31*(1-Probs_Mujeres!Z31)</f>
        <v>97477.636364137419</v>
      </c>
      <c r="AA32">
        <f>+AA31*(1-Probs_Mujeres!AA31)</f>
        <v>97477.637210700152</v>
      </c>
      <c r="AB32">
        <f>+AB31*(1-Probs_Mujeres!AB31)</f>
        <v>97477.637782670849</v>
      </c>
      <c r="AC32">
        <f>+AC31*(1-Probs_Mujeres!AC31)</f>
        <v>97477.638169116413</v>
      </c>
      <c r="AD32">
        <f>+AD31*(1-Probs_Mujeres!AD31)</f>
        <v>97477.638430214211</v>
      </c>
      <c r="AE32">
        <f>+AE31*(1-Probs_Mujeres!AE31)</f>
        <v>97477.638606622088</v>
      </c>
      <c r="AF32">
        <f>+AF31*(1-Probs_Mujeres!AF31)</f>
        <v>97477.638725810102</v>
      </c>
      <c r="AG32">
        <f>+AG31*(1-Probs_Mujeres!AG31)</f>
        <v>97477.638806338146</v>
      </c>
      <c r="AH32">
        <f>+AH31*(1-Probs_Mujeres!AH31)</f>
        <v>97477.638860746083</v>
      </c>
    </row>
    <row r="33" spans="1:34" x14ac:dyDescent="0.25">
      <c r="A33">
        <f>+Probs_Hombres!A33</f>
        <v>31</v>
      </c>
      <c r="B33">
        <f>+B32*(1-Probs_Mujeres!B32)</f>
        <v>97351.261056925796</v>
      </c>
      <c r="C33">
        <f>+C32*(1-Probs_Mujeres!C32)</f>
        <v>97361.871783860799</v>
      </c>
      <c r="D33">
        <f>+D32*(1-Probs_Mujeres!D32)</f>
        <v>97369.003401868744</v>
      </c>
      <c r="E33">
        <f>+E32*(1-Probs_Mujeres!E32)</f>
        <v>97373.804820143196</v>
      </c>
      <c r="F33">
        <f>+F32*(1-Probs_Mujeres!F32)</f>
        <v>97377.041122613402</v>
      </c>
      <c r="G33">
        <f>+G32*(1-Probs_Mujeres!G32)</f>
        <v>97379.224178212491</v>
      </c>
      <c r="H33">
        <f>+H32*(1-Probs_Mujeres!H32)</f>
        <v>97380.697533226936</v>
      </c>
      <c r="I33">
        <f>+I32*(1-Probs_Mujeres!I32)</f>
        <v>97381.692258710333</v>
      </c>
      <c r="J33">
        <f>+J32*(1-Probs_Mujeres!J32)</f>
        <v>97382.364000817412</v>
      </c>
      <c r="K33">
        <f>+K32*(1-Probs_Mujeres!K32)</f>
        <v>97382.817703977678</v>
      </c>
      <c r="L33">
        <f>+L32*(1-Probs_Mujeres!L32)</f>
        <v>97383.124174182449</v>
      </c>
      <c r="M33">
        <f>+M32*(1-Probs_Mujeres!M32)</f>
        <v>97383.33120577065</v>
      </c>
      <c r="N33">
        <f>+N32*(1-Probs_Mujeres!N32)</f>
        <v>97383.471069956388</v>
      </c>
      <c r="O33">
        <f>+O32*(1-Probs_Mujeres!O32)</f>
        <v>97383.565561074764</v>
      </c>
      <c r="P33">
        <f>+P32*(1-Probs_Mujeres!P32)</f>
        <v>97383.629399960104</v>
      </c>
      <c r="Q33">
        <f>+Q32*(1-Probs_Mujeres!Q32)</f>
        <v>97383.672530634285</v>
      </c>
      <c r="R33">
        <f>+R32*(1-Probs_Mujeres!R32)</f>
        <v>97383.701670777999</v>
      </c>
      <c r="S33">
        <f>+S32*(1-Probs_Mujeres!S32)</f>
        <v>97383.721358712966</v>
      </c>
      <c r="T33">
        <f>+T32*(1-Probs_Mujeres!T32)</f>
        <v>97383.734660521441</v>
      </c>
      <c r="U33">
        <f>+U32*(1-Probs_Mujeres!U32)</f>
        <v>97383.743647684169</v>
      </c>
      <c r="V33">
        <f>+V32*(1-Probs_Mujeres!V32)</f>
        <v>97383.749719735701</v>
      </c>
      <c r="W33">
        <f>+W32*(1-Probs_Mujeres!W32)</f>
        <v>97383.753822238941</v>
      </c>
      <c r="X33">
        <f>+X32*(1-Probs_Mujeres!X32)</f>
        <v>97383.756594044942</v>
      </c>
      <c r="Y33">
        <f>+Y32*(1-Probs_Mujeres!Y32)</f>
        <v>97383.75846678298</v>
      </c>
      <c r="Z33">
        <f>+Z32*(1-Probs_Mujeres!Z32)</f>
        <v>97383.759732076884</v>
      </c>
      <c r="AA33">
        <f>+AA32*(1-Probs_Mujeres!AA32)</f>
        <v>97383.760586958437</v>
      </c>
      <c r="AB33">
        <f>+AB32*(1-Probs_Mujeres!AB32)</f>
        <v>97383.761164549636</v>
      </c>
      <c r="AC33">
        <f>+AC32*(1-Probs_Mujeres!AC32)</f>
        <v>97383.761554792654</v>
      </c>
      <c r="AD33">
        <f>+AD32*(1-Probs_Mujeres!AD32)</f>
        <v>97383.761818456143</v>
      </c>
      <c r="AE33">
        <f>+AE32*(1-Probs_Mujeres!AE32)</f>
        <v>97383.761996597503</v>
      </c>
      <c r="AF33">
        <f>+AF32*(1-Probs_Mujeres!AF32)</f>
        <v>97383.762116956743</v>
      </c>
      <c r="AG33">
        <f>+AG32*(1-Probs_Mujeres!AG32)</f>
        <v>97383.76219827609</v>
      </c>
      <c r="AH33">
        <f>+AH32*(1-Probs_Mujeres!AH32)</f>
        <v>97383.76225321868</v>
      </c>
    </row>
    <row r="34" spans="1:34" x14ac:dyDescent="0.25">
      <c r="A34">
        <f>+Probs_Hombres!A34</f>
        <v>32</v>
      </c>
      <c r="B34">
        <f>+B33*(1-Probs_Mujeres!B33)</f>
        <v>97256.703238684859</v>
      </c>
      <c r="C34">
        <f>+C33*(1-Probs_Mujeres!C33)</f>
        <v>97267.455249360428</v>
      </c>
      <c r="D34">
        <f>+D33*(1-Probs_Mujeres!D33)</f>
        <v>97274.682241611663</v>
      </c>
      <c r="E34">
        <f>+E33*(1-Probs_Mujeres!E33)</f>
        <v>97279.548060670611</v>
      </c>
      <c r="F34">
        <f>+F33*(1-Probs_Mujeres!F33)</f>
        <v>97282.827857554599</v>
      </c>
      <c r="G34">
        <f>+G33*(1-Probs_Mujeres!G33)</f>
        <v>97285.040291786849</v>
      </c>
      <c r="H34">
        <f>+H33*(1-Probs_Mujeres!H33)</f>
        <v>97286.533492549046</v>
      </c>
      <c r="I34">
        <f>+I33*(1-Probs_Mujeres!I33)</f>
        <v>97287.541624949139</v>
      </c>
      <c r="J34">
        <f>+J33*(1-Probs_Mujeres!J33)</f>
        <v>97288.222424541673</v>
      </c>
      <c r="K34">
        <f>+K33*(1-Probs_Mujeres!K33)</f>
        <v>97288.682246950135</v>
      </c>
      <c r="L34">
        <f>+L33*(1-Probs_Mujeres!L33)</f>
        <v>97288.992851401665</v>
      </c>
      <c r="M34">
        <f>+M33*(1-Probs_Mujeres!M33)</f>
        <v>97289.202676177199</v>
      </c>
      <c r="N34">
        <f>+N33*(1-Probs_Mujeres!N33)</f>
        <v>97289.344427516902</v>
      </c>
      <c r="O34">
        <f>+O33*(1-Probs_Mujeres!O33)</f>
        <v>97289.44019365545</v>
      </c>
      <c r="P34">
        <f>+P33*(1-Probs_Mujeres!P33)</f>
        <v>97289.504893987498</v>
      </c>
      <c r="Q34">
        <f>+Q33*(1-Probs_Mujeres!Q33)</f>
        <v>97289.548606685683</v>
      </c>
      <c r="R34">
        <f>+R33*(1-Probs_Mujeres!R33)</f>
        <v>97289.578140066151</v>
      </c>
      <c r="S34">
        <f>+S33*(1-Probs_Mujeres!S33)</f>
        <v>97289.598093686625</v>
      </c>
      <c r="T34">
        <f>+T33*(1-Probs_Mujeres!T33)</f>
        <v>97289.611575002331</v>
      </c>
      <c r="U34">
        <f>+U33*(1-Probs_Mujeres!U33)</f>
        <v>97289.620683447036</v>
      </c>
      <c r="V34">
        <f>+V33*(1-Probs_Mujeres!V33)</f>
        <v>97289.626837441348</v>
      </c>
      <c r="W34">
        <f>+W33*(1-Probs_Mujeres!W33)</f>
        <v>97289.630995308311</v>
      </c>
      <c r="X34">
        <f>+X33*(1-Probs_Mujeres!X33)</f>
        <v>97289.633804520199</v>
      </c>
      <c r="Y34">
        <f>+Y33*(1-Probs_Mujeres!Y33)</f>
        <v>97289.635702531101</v>
      </c>
      <c r="Z34">
        <f>+Z33*(1-Probs_Mujeres!Z33)</f>
        <v>97289.636984900353</v>
      </c>
      <c r="AA34">
        <f>+AA33*(1-Probs_Mujeres!AA33)</f>
        <v>97289.637851318679</v>
      </c>
      <c r="AB34">
        <f>+AB33*(1-Probs_Mujeres!AB33)</f>
        <v>97289.638436704568</v>
      </c>
      <c r="AC34">
        <f>+AC33*(1-Probs_Mujeres!AC33)</f>
        <v>97289.638832213968</v>
      </c>
      <c r="AD34">
        <f>+AD33*(1-Probs_Mujeres!AD33)</f>
        <v>97289.639099435648</v>
      </c>
      <c r="AE34">
        <f>+AE33*(1-Probs_Mujeres!AE33)</f>
        <v>97289.639279981056</v>
      </c>
      <c r="AF34">
        <f>+AF33*(1-Probs_Mujeres!AF33)</f>
        <v>97289.639401964567</v>
      </c>
      <c r="AG34">
        <f>+AG33*(1-Probs_Mujeres!AG33)</f>
        <v>97289.639484381332</v>
      </c>
      <c r="AH34">
        <f>+AH33*(1-Probs_Mujeres!AH33)</f>
        <v>97289.639540065386</v>
      </c>
    </row>
    <row r="35" spans="1:34" x14ac:dyDescent="0.25">
      <c r="A35">
        <f>+Probs_Hombres!A35</f>
        <v>33</v>
      </c>
      <c r="B35">
        <f>+B34*(1-Probs_Mujeres!B34)</f>
        <v>97163.350495700695</v>
      </c>
      <c r="C35">
        <f>+C34*(1-Probs_Mujeres!C34)</f>
        <v>97174.278518941079</v>
      </c>
      <c r="D35">
        <f>+D34*(1-Probs_Mujeres!D34)</f>
        <v>97181.624280880817</v>
      </c>
      <c r="E35">
        <f>+E34*(1-Probs_Mujeres!E34)</f>
        <v>97186.570276283135</v>
      </c>
      <c r="F35">
        <f>+F34*(1-Probs_Mujeres!F34)</f>
        <v>97189.904211882662</v>
      </c>
      <c r="G35">
        <f>+G34*(1-Probs_Mujeres!G34)</f>
        <v>97192.153209939061</v>
      </c>
      <c r="H35">
        <f>+H34*(1-Probs_Mujeres!H34)</f>
        <v>97193.671108072129</v>
      </c>
      <c r="I35">
        <f>+I34*(1-Probs_Mujeres!I34)</f>
        <v>97194.695923978594</v>
      </c>
      <c r="J35">
        <f>+J34*(1-Probs_Mujeres!J34)</f>
        <v>97195.387994229546</v>
      </c>
      <c r="K35">
        <f>+K34*(1-Probs_Mujeres!K34)</f>
        <v>97195.855430909854</v>
      </c>
      <c r="L35">
        <f>+L34*(1-Probs_Mujeres!L34)</f>
        <v>97196.171179575613</v>
      </c>
      <c r="M35">
        <f>+M34*(1-Probs_Mujeres!M34)</f>
        <v>97196.384479853135</v>
      </c>
      <c r="N35">
        <f>+N34*(1-Probs_Mujeres!N34)</f>
        <v>97196.528579318416</v>
      </c>
      <c r="O35">
        <f>+O34*(1-Probs_Mujeres!O34)</f>
        <v>97196.625931915318</v>
      </c>
      <c r="P35">
        <f>+P34*(1-Probs_Mujeres!P34)</f>
        <v>97196.691704108292</v>
      </c>
      <c r="Q35">
        <f>+Q34*(1-Probs_Mujeres!Q34)</f>
        <v>97196.736140992012</v>
      </c>
      <c r="R35">
        <f>+R34*(1-Probs_Mujeres!R34)</f>
        <v>97196.766163657972</v>
      </c>
      <c r="S35">
        <f>+S34*(1-Probs_Mujeres!S34)</f>
        <v>97196.786447857696</v>
      </c>
      <c r="T35">
        <f>+T34*(1-Probs_Mujeres!T34)</f>
        <v>97196.800152525131</v>
      </c>
      <c r="U35">
        <f>+U34*(1-Probs_Mujeres!U34)</f>
        <v>97196.809411874769</v>
      </c>
      <c r="V35">
        <f>+V34*(1-Probs_Mujeres!V34)</f>
        <v>97196.815667826246</v>
      </c>
      <c r="W35">
        <f>+W34*(1-Probs_Mujeres!W34)</f>
        <v>97196.819894579399</v>
      </c>
      <c r="X35">
        <f>+X34*(1-Probs_Mujeres!X34)</f>
        <v>97196.822750333478</v>
      </c>
      <c r="Y35">
        <f>+Y34*(1-Probs_Mujeres!Y34)</f>
        <v>97196.824679790094</v>
      </c>
      <c r="Z35">
        <f>+Z34*(1-Probs_Mujeres!Z34)</f>
        <v>97196.825983405302</v>
      </c>
      <c r="AA35">
        <f>+AA34*(1-Probs_Mujeres!AA34)</f>
        <v>97196.82686417822</v>
      </c>
      <c r="AB35">
        <f>+AB34*(1-Probs_Mujeres!AB34)</f>
        <v>97196.827459262626</v>
      </c>
      <c r="AC35">
        <f>+AC34*(1-Probs_Mujeres!AC34)</f>
        <v>97196.827861324724</v>
      </c>
      <c r="AD35">
        <f>+AD34*(1-Probs_Mujeres!AD34)</f>
        <v>97196.828132973678</v>
      </c>
      <c r="AE35">
        <f>+AE34*(1-Probs_Mujeres!AE34)</f>
        <v>97196.828316510306</v>
      </c>
      <c r="AF35">
        <f>+AF34*(1-Probs_Mujeres!AF34)</f>
        <v>97196.828440514815</v>
      </c>
      <c r="AG35">
        <f>+AG34*(1-Probs_Mujeres!AG34)</f>
        <v>97196.828524297031</v>
      </c>
      <c r="AH35">
        <f>+AH34*(1-Probs_Mujeres!AH34)</f>
        <v>97196.828580903661</v>
      </c>
    </row>
    <row r="36" spans="1:34" x14ac:dyDescent="0.25">
      <c r="A36">
        <f>+Probs_Hombres!A36</f>
        <v>34</v>
      </c>
      <c r="B36">
        <f>+B35*(1-Probs_Mujeres!B35)</f>
        <v>97069.79909939869</v>
      </c>
      <c r="C36">
        <f>+C35*(1-Probs_Mujeres!C35)</f>
        <v>97080.91515771678</v>
      </c>
      <c r="D36">
        <f>+D35*(1-Probs_Mujeres!D35)</f>
        <v>97088.387786418738</v>
      </c>
      <c r="E36">
        <f>+E35*(1-Probs_Mujeres!E35)</f>
        <v>97093.419417103229</v>
      </c>
      <c r="F36">
        <f>+F35*(1-Probs_Mujeres!F35)</f>
        <v>97096.811174328148</v>
      </c>
      <c r="G36">
        <f>+G35*(1-Probs_Mujeres!G35)</f>
        <v>97099.099222080476</v>
      </c>
      <c r="H36">
        <f>+H35*(1-Probs_Mujeres!H35)</f>
        <v>97100.643496020581</v>
      </c>
      <c r="I36">
        <f>+I35*(1-Probs_Mujeres!I35)</f>
        <v>97101.686128941248</v>
      </c>
      <c r="J36">
        <f>+J35*(1-Probs_Mujeres!J35)</f>
        <v>97102.390235460436</v>
      </c>
      <c r="K36">
        <f>+K35*(1-Probs_Mujeres!K35)</f>
        <v>97102.865803582448</v>
      </c>
      <c r="L36">
        <f>+L35*(1-Probs_Mujeres!L35)</f>
        <v>97103.187045834202</v>
      </c>
      <c r="M36">
        <f>+M35*(1-Probs_Mujeres!M35)</f>
        <v>97103.404057640844</v>
      </c>
      <c r="N36">
        <f>+N35*(1-Probs_Mujeres!N35)</f>
        <v>97103.550664690789</v>
      </c>
      <c r="O36">
        <f>+O35*(1-Probs_Mujeres!O35)</f>
        <v>97103.649711478225</v>
      </c>
      <c r="P36">
        <f>+P35*(1-Probs_Mujeres!P35)</f>
        <v>97103.716628318129</v>
      </c>
      <c r="Q36">
        <f>+Q35*(1-Probs_Mujeres!Q35)</f>
        <v>97103.761838563456</v>
      </c>
      <c r="R36">
        <f>+R35*(1-Probs_Mujeres!R35)</f>
        <v>97103.792383739768</v>
      </c>
      <c r="S36">
        <f>+S35*(1-Probs_Mujeres!S35)</f>
        <v>97103.813020966554</v>
      </c>
      <c r="T36">
        <f>+T35*(1-Probs_Mujeres!T35)</f>
        <v>97103.826964152249</v>
      </c>
      <c r="U36">
        <f>+U35*(1-Probs_Mujeres!U35)</f>
        <v>97103.836384653885</v>
      </c>
      <c r="V36">
        <f>+V35*(1-Probs_Mujeres!V35)</f>
        <v>97103.842749485819</v>
      </c>
      <c r="W36">
        <f>+W35*(1-Probs_Mujeres!W35)</f>
        <v>97103.847049802818</v>
      </c>
      <c r="X36">
        <f>+X35*(1-Probs_Mujeres!X35)</f>
        <v>97103.849955259473</v>
      </c>
      <c r="Y36">
        <f>+Y35*(1-Probs_Mujeres!Y35)</f>
        <v>97103.851918297078</v>
      </c>
      <c r="Z36">
        <f>+Z35*(1-Probs_Mujeres!Z35)</f>
        <v>97103.853244600919</v>
      </c>
      <c r="AA36">
        <f>+AA35*(1-Probs_Mujeres!AA35)</f>
        <v>97103.854140703159</v>
      </c>
      <c r="AB36">
        <f>+AB35*(1-Probs_Mujeres!AB35)</f>
        <v>97103.854746144658</v>
      </c>
      <c r="AC36">
        <f>+AC35*(1-Probs_Mujeres!AC35)</f>
        <v>97103.855155204408</v>
      </c>
      <c r="AD36">
        <f>+AD35*(1-Probs_Mujeres!AD35)</f>
        <v>97103.855431581251</v>
      </c>
      <c r="AE36">
        <f>+AE35*(1-Probs_Mujeres!AE35)</f>
        <v>97103.855618312227</v>
      </c>
      <c r="AF36">
        <f>+AF35*(1-Probs_Mujeres!AF35)</f>
        <v>97103.85574447496</v>
      </c>
      <c r="AG36">
        <f>+AG35*(1-Probs_Mujeres!AG35)</f>
        <v>97103.85582971535</v>
      </c>
      <c r="AH36">
        <f>+AH35*(1-Probs_Mujeres!AH35)</f>
        <v>97103.855887307189</v>
      </c>
    </row>
    <row r="37" spans="1:34" x14ac:dyDescent="0.25">
      <c r="A37">
        <f>+Probs_Hombres!A37</f>
        <v>35</v>
      </c>
      <c r="B37">
        <f>+B36*(1-Probs_Mujeres!B36)</f>
        <v>96971.723200331835</v>
      </c>
      <c r="C37">
        <f>+C36*(1-Probs_Mujeres!C36)</f>
        <v>96983.021305080299</v>
      </c>
      <c r="D37">
        <f>+D36*(1-Probs_Mujeres!D36)</f>
        <v>96990.616779072632</v>
      </c>
      <c r="E37">
        <f>+E36*(1-Probs_Mujeres!E36)</f>
        <v>96995.731339220336</v>
      </c>
      <c r="F37">
        <f>+F36*(1-Probs_Mujeres!F36)</f>
        <v>96999.179095038213</v>
      </c>
      <c r="G37">
        <f>+G36*(1-Probs_Mujeres!G36)</f>
        <v>97001.50496311122</v>
      </c>
      <c r="H37">
        <f>+H36*(1-Probs_Mujeres!H36)</f>
        <v>97003.074783310265</v>
      </c>
      <c r="I37">
        <f>+I36*(1-Probs_Mujeres!I36)</f>
        <v>97004.134673256311</v>
      </c>
      <c r="J37">
        <f>+J36*(1-Probs_Mujeres!J36)</f>
        <v>97004.850437915302</v>
      </c>
      <c r="K37">
        <f>+K36*(1-Probs_Mujeres!K36)</f>
        <v>97005.333882101957</v>
      </c>
      <c r="L37">
        <f>+L36*(1-Probs_Mujeres!L36)</f>
        <v>97005.66044544318</v>
      </c>
      <c r="M37">
        <f>+M36*(1-Probs_Mujeres!M36)</f>
        <v>97005.881052254656</v>
      </c>
      <c r="N37">
        <f>+N36*(1-Probs_Mujeres!N36)</f>
        <v>97006.030088170519</v>
      </c>
      <c r="O37">
        <f>+O36*(1-Probs_Mujeres!O36)</f>
        <v>97006.130775967424</v>
      </c>
      <c r="P37">
        <f>+P36*(1-Probs_Mujeres!P36)</f>
        <v>97006.198801525039</v>
      </c>
      <c r="Q37">
        <f>+Q36*(1-Probs_Mujeres!Q36)</f>
        <v>97006.244760857735</v>
      </c>
      <c r="R37">
        <f>+R36*(1-Probs_Mujeres!R36)</f>
        <v>97006.275812144173</v>
      </c>
      <c r="S37">
        <f>+S36*(1-Probs_Mujeres!S36)</f>
        <v>97006.296791317582</v>
      </c>
      <c r="T37">
        <f>+T36*(1-Probs_Mujeres!T36)</f>
        <v>97006.310965535245</v>
      </c>
      <c r="U37">
        <f>+U36*(1-Probs_Mujeres!U36)</f>
        <v>97006.320542130881</v>
      </c>
      <c r="V37">
        <f>+V36*(1-Probs_Mujeres!V36)</f>
        <v>97006.327012425914</v>
      </c>
      <c r="W37">
        <f>+W36*(1-Probs_Mujeres!W36)</f>
        <v>97006.331383997851</v>
      </c>
      <c r="X37">
        <f>+X36*(1-Probs_Mujeres!X36)</f>
        <v>97006.334337597116</v>
      </c>
      <c r="Y37">
        <f>+Y36*(1-Probs_Mujeres!Y36)</f>
        <v>97006.336333161729</v>
      </c>
      <c r="Z37">
        <f>+Z36*(1-Probs_Mujeres!Z36)</f>
        <v>97006.337681442106</v>
      </c>
      <c r="AA37">
        <f>+AA36*(1-Probs_Mujeres!AA36)</f>
        <v>97006.338592392538</v>
      </c>
      <c r="AB37">
        <f>+AB36*(1-Probs_Mujeres!AB36)</f>
        <v>97006.339207866054</v>
      </c>
      <c r="AC37">
        <f>+AC36*(1-Probs_Mujeres!AC36)</f>
        <v>97006.339623703825</v>
      </c>
      <c r="AD37">
        <f>+AD36*(1-Probs_Mujeres!AD36)</f>
        <v>97006.33990466017</v>
      </c>
      <c r="AE37">
        <f>+AE36*(1-Probs_Mujeres!AE36)</f>
        <v>97006.340094485233</v>
      </c>
      <c r="AF37">
        <f>+AF36*(1-Probs_Mujeres!AF36)</f>
        <v>97006.340222738465</v>
      </c>
      <c r="AG37">
        <f>+AG36*(1-Probs_Mujeres!AG36)</f>
        <v>97006.340309391264</v>
      </c>
      <c r="AH37">
        <f>+AH36*(1-Probs_Mujeres!AH36)</f>
        <v>97006.340367937388</v>
      </c>
    </row>
    <row r="38" spans="1:34" x14ac:dyDescent="0.25">
      <c r="A38">
        <f>+Probs_Hombres!A38</f>
        <v>36</v>
      </c>
      <c r="B38">
        <f>+B37*(1-Probs_Mujeres!B37)</f>
        <v>96867.730040384369</v>
      </c>
      <c r="C38">
        <f>+C37*(1-Probs_Mujeres!C37)</f>
        <v>96879.235590733617</v>
      </c>
      <c r="D38">
        <f>+D37*(1-Probs_Mujeres!D37)</f>
        <v>96886.97103030642</v>
      </c>
      <c r="E38">
        <f>+E37*(1-Probs_Mujeres!E37)</f>
        <v>96892.180068640839</v>
      </c>
      <c r="F38">
        <f>+F37*(1-Probs_Mujeres!F37)</f>
        <v>96895.691617421471</v>
      </c>
      <c r="G38">
        <f>+G37*(1-Probs_Mujeres!G37)</f>
        <v>96898.060568163957</v>
      </c>
      <c r="H38">
        <f>+H37*(1-Probs_Mujeres!H37)</f>
        <v>96899.659488321849</v>
      </c>
      <c r="I38">
        <f>+I37*(1-Probs_Mujeres!I37)</f>
        <v>96900.739035513849</v>
      </c>
      <c r="J38">
        <f>+J37*(1-Probs_Mujeres!J37)</f>
        <v>96901.468079631304</v>
      </c>
      <c r="K38">
        <f>+K37*(1-Probs_Mujeres!K37)</f>
        <v>96901.960495142615</v>
      </c>
      <c r="L38">
        <f>+L37*(1-Probs_Mujeres!L37)</f>
        <v>96902.293119497976</v>
      </c>
      <c r="M38">
        <f>+M37*(1-Probs_Mujeres!M37)</f>
        <v>96902.517821201676</v>
      </c>
      <c r="N38">
        <f>+N37*(1-Probs_Mujeres!N37)</f>
        <v>96902.669623711146</v>
      </c>
      <c r="O38">
        <f>+O37*(1-Probs_Mujeres!O37)</f>
        <v>96902.772180692336</v>
      </c>
      <c r="P38">
        <f>+P37*(1-Probs_Mujeres!P37)</f>
        <v>96902.841469128194</v>
      </c>
      <c r="Q38">
        <f>+Q37*(1-Probs_Mujeres!Q37)</f>
        <v>96902.88828170365</v>
      </c>
      <c r="R38">
        <f>+R37*(1-Probs_Mujeres!R37)</f>
        <v>96902.919909470991</v>
      </c>
      <c r="S38">
        <f>+S37*(1-Probs_Mujeres!S37)</f>
        <v>96902.941278135942</v>
      </c>
      <c r="T38">
        <f>+T37*(1-Probs_Mujeres!T37)</f>
        <v>96902.955715508666</v>
      </c>
      <c r="U38">
        <f>+U37*(1-Probs_Mujeres!U37)</f>
        <v>96902.965469901828</v>
      </c>
      <c r="V38">
        <f>+V37*(1-Probs_Mujeres!V37)</f>
        <v>96902.972060323693</v>
      </c>
      <c r="W38">
        <f>+W37*(1-Probs_Mujeres!W37)</f>
        <v>96902.976513057962</v>
      </c>
      <c r="X38">
        <f>+X37*(1-Probs_Mujeres!X37)</f>
        <v>96902.979521493631</v>
      </c>
      <c r="Y38">
        <f>+Y37*(1-Probs_Mujeres!Y37)</f>
        <v>96902.981554107857</v>
      </c>
      <c r="Z38">
        <f>+Z37*(1-Probs_Mujeres!Z37)</f>
        <v>96902.982927420395</v>
      </c>
      <c r="AA38">
        <f>+AA37*(1-Probs_Mujeres!AA37)</f>
        <v>96902.983855283543</v>
      </c>
      <c r="AB38">
        <f>+AB37*(1-Probs_Mujeres!AB37)</f>
        <v>96902.984482183922</v>
      </c>
      <c r="AC38">
        <f>+AC37*(1-Probs_Mujeres!AC37)</f>
        <v>96902.984905742152</v>
      </c>
      <c r="AD38">
        <f>+AD37*(1-Probs_Mujeres!AD37)</f>
        <v>96902.985191914733</v>
      </c>
      <c r="AE38">
        <f>+AE37*(1-Probs_Mujeres!AE37)</f>
        <v>96902.985385264095</v>
      </c>
      <c r="AF38">
        <f>+AF37*(1-Probs_Mujeres!AF37)</f>
        <v>96902.985515898472</v>
      </c>
      <c r="AG38">
        <f>+AG37*(1-Probs_Mujeres!AG37)</f>
        <v>96902.985604160072</v>
      </c>
      <c r="AH38">
        <f>+AH37*(1-Probs_Mujeres!AH37)</f>
        <v>96902.985663793166</v>
      </c>
    </row>
    <row r="39" spans="1:34" x14ac:dyDescent="0.25">
      <c r="A39">
        <f>+Probs_Hombres!A39</f>
        <v>37</v>
      </c>
      <c r="B39">
        <f>+B38*(1-Probs_Mujeres!B38)</f>
        <v>96757.284609646376</v>
      </c>
      <c r="C39">
        <f>+C38*(1-Probs_Mujeres!C38)</f>
        <v>96769.041607181163</v>
      </c>
      <c r="D39">
        <f>+D38*(1-Probs_Mujeres!D38)</f>
        <v>96776.946654600411</v>
      </c>
      <c r="E39">
        <f>+E38*(1-Probs_Mujeres!E38)</f>
        <v>96782.270158978834</v>
      </c>
      <c r="F39">
        <f>+F38*(1-Probs_Mujeres!F38)</f>
        <v>96785.858987235362</v>
      </c>
      <c r="G39">
        <f>+G38*(1-Probs_Mujeres!G38)</f>
        <v>96788.280124422774</v>
      </c>
      <c r="H39">
        <f>+H38*(1-Probs_Mujeres!H38)</f>
        <v>96789.914291646579</v>
      </c>
      <c r="I39">
        <f>+I38*(1-Probs_Mujeres!I38)</f>
        <v>96791.017647594854</v>
      </c>
      <c r="J39">
        <f>+J38*(1-Probs_Mujeres!J38)</f>
        <v>96791.762775310548</v>
      </c>
      <c r="K39">
        <f>+K38*(1-Probs_Mujeres!K38)</f>
        <v>96792.266056375709</v>
      </c>
      <c r="L39">
        <f>+L38*(1-Probs_Mujeres!L38)</f>
        <v>96792.606021397442</v>
      </c>
      <c r="M39">
        <f>+M38*(1-Probs_Mujeres!M38)</f>
        <v>96792.835682502016</v>
      </c>
      <c r="N39">
        <f>+N38*(1-Probs_Mujeres!N38)</f>
        <v>96792.990835666991</v>
      </c>
      <c r="O39">
        <f>+O38*(1-Probs_Mujeres!O38)</f>
        <v>96793.095656432008</v>
      </c>
      <c r="P39">
        <f>+P38*(1-Probs_Mujeres!P38)</f>
        <v>96793.166474345941</v>
      </c>
      <c r="Q39">
        <f>+Q38*(1-Probs_Mujeres!Q38)</f>
        <v>96793.214320286192</v>
      </c>
      <c r="R39">
        <f>+R38*(1-Probs_Mujeres!R38)</f>
        <v>96793.246646230444</v>
      </c>
      <c r="S39">
        <f>+S38*(1-Probs_Mujeres!S38)</f>
        <v>96793.268486608882</v>
      </c>
      <c r="T39">
        <f>+T38*(1-Probs_Mujeres!T38)</f>
        <v>96793.283242688689</v>
      </c>
      <c r="U39">
        <f>+U38*(1-Probs_Mujeres!U38)</f>
        <v>96793.293212412376</v>
      </c>
      <c r="V39">
        <f>+V38*(1-Probs_Mujeres!V38)</f>
        <v>96793.299948319764</v>
      </c>
      <c r="W39">
        <f>+W38*(1-Probs_Mujeres!W38)</f>
        <v>96793.304499349659</v>
      </c>
      <c r="X39">
        <f>+X38*(1-Probs_Mujeres!X38)</f>
        <v>96793.30757419765</v>
      </c>
      <c r="Y39">
        <f>+Y38*(1-Probs_Mujeres!Y38)</f>
        <v>96793.309651682604</v>
      </c>
      <c r="Z39">
        <f>+Z38*(1-Probs_Mujeres!Z38)</f>
        <v>96793.311055311569</v>
      </c>
      <c r="AA39">
        <f>+AA38*(1-Probs_Mujeres!AA38)</f>
        <v>96793.312003657673</v>
      </c>
      <c r="AB39">
        <f>+AB38*(1-Probs_Mujeres!AB38)</f>
        <v>96793.312644397141</v>
      </c>
      <c r="AC39">
        <f>+AC38*(1-Probs_Mujeres!AC38)</f>
        <v>96793.313077305604</v>
      </c>
      <c r="AD39">
        <f>+AD38*(1-Probs_Mujeres!AD38)</f>
        <v>96793.313369795564</v>
      </c>
      <c r="AE39">
        <f>+AE38*(1-Probs_Mujeres!AE38)</f>
        <v>96793.313567413192</v>
      </c>
      <c r="AF39">
        <f>+AF38*(1-Probs_Mujeres!AF38)</f>
        <v>96793.31370093138</v>
      </c>
      <c r="AG39">
        <f>+AG38*(1-Probs_Mujeres!AG38)</f>
        <v>96793.31379114138</v>
      </c>
      <c r="AH39">
        <f>+AH38*(1-Probs_Mujeres!AH38)</f>
        <v>96793.313852090912</v>
      </c>
    </row>
    <row r="40" spans="1:34" x14ac:dyDescent="0.25">
      <c r="A40">
        <f>+Probs_Hombres!A40</f>
        <v>38</v>
      </c>
      <c r="B40">
        <f>+B39*(1-Probs_Mujeres!B39)</f>
        <v>96641.499363009178</v>
      </c>
      <c r="C40">
        <f>+C39*(1-Probs_Mujeres!C39)</f>
        <v>96653.542420179336</v>
      </c>
      <c r="D40">
        <f>+D39*(1-Probs_Mujeres!D39)</f>
        <v>96661.640387541716</v>
      </c>
      <c r="E40">
        <f>+E39*(1-Probs_Mujeres!E39)</f>
        <v>96667.094075070563</v>
      </c>
      <c r="F40">
        <f>+F39*(1-Probs_Mujeres!F39)</f>
        <v>96670.770786640642</v>
      </c>
      <c r="G40">
        <f>+G39*(1-Probs_Mujeres!G39)</f>
        <v>96673.25126768295</v>
      </c>
      <c r="H40">
        <f>+H39*(1-Probs_Mujeres!H39)</f>
        <v>96674.925514624629</v>
      </c>
      <c r="I40">
        <f>+I39*(1-Probs_Mujeres!I39)</f>
        <v>96676.055943009473</v>
      </c>
      <c r="J40">
        <f>+J39*(1-Probs_Mujeres!J39)</f>
        <v>96676.819358732479</v>
      </c>
      <c r="K40">
        <f>+K39*(1-Probs_Mujeres!K39)</f>
        <v>96677.33499443483</v>
      </c>
      <c r="L40">
        <f>+L39*(1-Probs_Mujeres!L39)</f>
        <v>96677.683306068182</v>
      </c>
      <c r="M40">
        <f>+M39*(1-Probs_Mujeres!M39)</f>
        <v>96677.918606166771</v>
      </c>
      <c r="N40">
        <f>+N39*(1-Probs_Mujeres!N39)</f>
        <v>96678.07756911825</v>
      </c>
      <c r="O40">
        <f>+O39*(1-Probs_Mujeres!O39)</f>
        <v>96678.184963860898</v>
      </c>
      <c r="P40">
        <f>+P39*(1-Probs_Mujeres!P39)</f>
        <v>96678.25752082598</v>
      </c>
      <c r="Q40">
        <f>+Q39*(1-Probs_Mujeres!Q39)</f>
        <v>96678.306541724072</v>
      </c>
      <c r="R40">
        <f>+R39*(1-Probs_Mujeres!R39)</f>
        <v>96678.339661509803</v>
      </c>
      <c r="S40">
        <f>+S39*(1-Probs_Mujeres!S39)</f>
        <v>96678.362038235864</v>
      </c>
      <c r="T40">
        <f>+T39*(1-Probs_Mujeres!T39)</f>
        <v>96678.377156691859</v>
      </c>
      <c r="U40">
        <f>+U39*(1-Probs_Mujeres!U39)</f>
        <v>96678.387371250516</v>
      </c>
      <c r="V40">
        <f>+V39*(1-Probs_Mujeres!V39)</f>
        <v>96678.394272577716</v>
      </c>
      <c r="W40">
        <f>+W39*(1-Probs_Mujeres!W39)</f>
        <v>96678.398935371588</v>
      </c>
      <c r="X40">
        <f>+X39*(1-Probs_Mujeres!X39)</f>
        <v>96678.40208573165</v>
      </c>
      <c r="Y40">
        <f>+Y39*(1-Probs_Mujeres!Y39)</f>
        <v>96678.404214235503</v>
      </c>
      <c r="Z40">
        <f>+Z39*(1-Probs_Mujeres!Z39)</f>
        <v>96678.405652334797</v>
      </c>
      <c r="AA40">
        <f>+AA39*(1-Probs_Mujeres!AA39)</f>
        <v>96678.406623970412</v>
      </c>
      <c r="AB40">
        <f>+AB39*(1-Probs_Mujeres!AB39)</f>
        <v>96678.407280445172</v>
      </c>
      <c r="AC40">
        <f>+AC39*(1-Probs_Mujeres!AC39)</f>
        <v>96678.407723985016</v>
      </c>
      <c r="AD40">
        <f>+AD39*(1-Probs_Mujeres!AD39)</f>
        <v>96678.408023657961</v>
      </c>
      <c r="AE40">
        <f>+AE39*(1-Probs_Mujeres!AE39)</f>
        <v>96678.408226128682</v>
      </c>
      <c r="AF40">
        <f>+AF39*(1-Probs_Mujeres!AF39)</f>
        <v>96678.408362925824</v>
      </c>
      <c r="AG40">
        <f>+AG39*(1-Probs_Mujeres!AG39)</f>
        <v>96678.408455351208</v>
      </c>
      <c r="AH40">
        <f>+AH39*(1-Probs_Mujeres!AH39)</f>
        <v>96678.40851779755</v>
      </c>
    </row>
    <row r="41" spans="1:34" x14ac:dyDescent="0.25">
      <c r="A41">
        <f>+Probs_Hombres!A41</f>
        <v>39</v>
      </c>
      <c r="B41">
        <f>+B40*(1-Probs_Mujeres!B40)</f>
        <v>96522.29720224328</v>
      </c>
      <c r="C41">
        <f>+C40*(1-Probs_Mujeres!C40)</f>
        <v>96534.669397053003</v>
      </c>
      <c r="D41">
        <f>+D40*(1-Probs_Mujeres!D40)</f>
        <v>96542.989277095592</v>
      </c>
      <c r="E41">
        <f>+E40*(1-Probs_Mujeres!E40)</f>
        <v>96548.59268518904</v>
      </c>
      <c r="F41">
        <f>+F40*(1-Probs_Mujeres!F40)</f>
        <v>96552.370456972159</v>
      </c>
      <c r="G41">
        <f>+G40*(1-Probs_Mujeres!G40)</f>
        <v>96554.919174054128</v>
      </c>
      <c r="H41">
        <f>+H40*(1-Probs_Mujeres!H40)</f>
        <v>96556.639503766171</v>
      </c>
      <c r="I41">
        <f>+I40*(1-Probs_Mujeres!I40)</f>
        <v>96557.801058269368</v>
      </c>
      <c r="J41">
        <f>+J40*(1-Probs_Mujeres!J40)</f>
        <v>96558.585499814741</v>
      </c>
      <c r="K41">
        <f>+K40*(1-Probs_Mujeres!K40)</f>
        <v>96559.115339467869</v>
      </c>
      <c r="L41">
        <f>+L40*(1-Probs_Mujeres!L40)</f>
        <v>96559.473246970883</v>
      </c>
      <c r="M41">
        <f>+M40*(1-Probs_Mujeres!M40)</f>
        <v>96559.715030014981</v>
      </c>
      <c r="N41">
        <f>+N40*(1-Probs_Mujeres!N40)</f>
        <v>96559.878372915744</v>
      </c>
      <c r="O41">
        <f>+O40*(1-Probs_Mujeres!O40)</f>
        <v>96559.988726840296</v>
      </c>
      <c r="P41">
        <f>+P40*(1-Probs_Mujeres!P40)</f>
        <v>96560.063283106443</v>
      </c>
      <c r="Q41">
        <f>+Q40*(1-Probs_Mujeres!Q40)</f>
        <v>96560.11365479324</v>
      </c>
      <c r="R41">
        <f>+R40*(1-Probs_Mujeres!R40)</f>
        <v>96560.147687216755</v>
      </c>
      <c r="S41">
        <f>+S40*(1-Probs_Mujeres!S40)</f>
        <v>96560.170680552998</v>
      </c>
      <c r="T41">
        <f>+T40*(1-Probs_Mujeres!T40)</f>
        <v>96560.186215613328</v>
      </c>
      <c r="U41">
        <f>+U40*(1-Probs_Mujeres!U40)</f>
        <v>96560.196711645403</v>
      </c>
      <c r="V41">
        <f>+V40*(1-Probs_Mujeres!V40)</f>
        <v>96560.203803146724</v>
      </c>
      <c r="W41">
        <f>+W40*(1-Probs_Mujeres!W40)</f>
        <v>96560.20859442951</v>
      </c>
      <c r="X41">
        <f>+X40*(1-Probs_Mujeres!X40)</f>
        <v>96560.211831601657</v>
      </c>
      <c r="Y41">
        <f>+Y40*(1-Probs_Mujeres!Y40)</f>
        <v>96560.214018759114</v>
      </c>
      <c r="Z41">
        <f>+Z40*(1-Probs_Mujeres!Z40)</f>
        <v>96560.215496487057</v>
      </c>
      <c r="AA41">
        <f>+AA40*(1-Probs_Mujeres!AA40)</f>
        <v>96560.216494897337</v>
      </c>
      <c r="AB41">
        <f>+AB40*(1-Probs_Mujeres!AB40)</f>
        <v>96560.217169462107</v>
      </c>
      <c r="AC41">
        <f>+AC40*(1-Probs_Mujeres!AC40)</f>
        <v>96560.21762522425</v>
      </c>
      <c r="AD41">
        <f>+AD40*(1-Probs_Mujeres!AD40)</f>
        <v>96560.217933155072</v>
      </c>
      <c r="AE41">
        <f>+AE40*(1-Probs_Mujeres!AE40)</f>
        <v>96560.218141205143</v>
      </c>
      <c r="AF41">
        <f>+AF40*(1-Probs_Mujeres!AF40)</f>
        <v>96560.2182817719</v>
      </c>
      <c r="AG41">
        <f>+AG40*(1-Probs_Mujeres!AG40)</f>
        <v>96560.218376744189</v>
      </c>
      <c r="AH41">
        <f>+AH40*(1-Probs_Mujeres!AH40)</f>
        <v>96560.218440911311</v>
      </c>
    </row>
    <row r="42" spans="1:34" x14ac:dyDescent="0.25">
      <c r="A42">
        <f>+Probs_Hombres!A42</f>
        <v>40</v>
      </c>
      <c r="B42">
        <f>+B41*(1-Probs_Mujeres!B41)</f>
        <v>96397.694573660265</v>
      </c>
      <c r="C42">
        <f>+C41*(1-Probs_Mujeres!C41)</f>
        <v>96410.44397548605</v>
      </c>
      <c r="D42">
        <f>+D41*(1-Probs_Mujeres!D41)</f>
        <v>96419.018116760257</v>
      </c>
      <c r="E42">
        <f>+E41*(1-Probs_Mujeres!E41)</f>
        <v>96424.793042624777</v>
      </c>
      <c r="F42">
        <f>+F41*(1-Probs_Mujeres!F41)</f>
        <v>96428.686574897307</v>
      </c>
      <c r="G42">
        <f>+G41*(1-Probs_Mujeres!G41)</f>
        <v>96431.313447894951</v>
      </c>
      <c r="H42">
        <f>+H41*(1-Probs_Mujeres!H41)</f>
        <v>96433.086557066199</v>
      </c>
      <c r="I42">
        <f>+I41*(1-Probs_Mujeres!I41)</f>
        <v>96434.283759692567</v>
      </c>
      <c r="J42">
        <f>+J41*(1-Probs_Mujeres!J41)</f>
        <v>96435.092281144549</v>
      </c>
      <c r="K42">
        <f>+K41*(1-Probs_Mujeres!K41)</f>
        <v>96435.638387678264</v>
      </c>
      <c r="L42">
        <f>+L41*(1-Probs_Mujeres!L41)</f>
        <v>96436.007284605599</v>
      </c>
      <c r="M42">
        <f>+M41*(1-Probs_Mujeres!M41)</f>
        <v>96436.256492025044</v>
      </c>
      <c r="N42">
        <f>+N41*(1-Probs_Mujeres!N41)</f>
        <v>96436.42485089165</v>
      </c>
      <c r="O42">
        <f>+O41*(1-Probs_Mujeres!O41)</f>
        <v>96436.538593692778</v>
      </c>
      <c r="P42">
        <f>+P41*(1-Probs_Mujeres!P41)</f>
        <v>96436.615439568079</v>
      </c>
      <c r="Q42">
        <f>+Q41*(1-Probs_Mujeres!Q41)</f>
        <v>96436.667358182283</v>
      </c>
      <c r="R42">
        <f>+R41*(1-Probs_Mujeres!R41)</f>
        <v>96436.702435760395</v>
      </c>
      <c r="S42">
        <f>+S41*(1-Probs_Mujeres!S41)</f>
        <v>96436.726135239369</v>
      </c>
      <c r="T42">
        <f>+T41*(1-Probs_Mujeres!T41)</f>
        <v>96436.742147395256</v>
      </c>
      <c r="U42">
        <f>+U41*(1-Probs_Mujeres!U41)</f>
        <v>96436.752965770793</v>
      </c>
      <c r="V42">
        <f>+V41*(1-Probs_Mujeres!V41)</f>
        <v>96436.76027505954</v>
      </c>
      <c r="W42">
        <f>+W41*(1-Probs_Mujeres!W41)</f>
        <v>96436.76521348783</v>
      </c>
      <c r="X42">
        <f>+X41*(1-Probs_Mujeres!X41)</f>
        <v>96436.768550077148</v>
      </c>
      <c r="Y42">
        <f>+Y41*(1-Probs_Mujeres!Y41)</f>
        <v>96436.770804404689</v>
      </c>
      <c r="Z42">
        <f>+Z41*(1-Probs_Mujeres!Z41)</f>
        <v>96436.772327515355</v>
      </c>
      <c r="AA42">
        <f>+AA41*(1-Probs_Mujeres!AA41)</f>
        <v>96436.773356587961</v>
      </c>
      <c r="AB42">
        <f>+AB41*(1-Probs_Mujeres!AB41)</f>
        <v>96436.774051869405</v>
      </c>
      <c r="AC42">
        <f>+AC41*(1-Probs_Mujeres!AC41)</f>
        <v>96436.77452162854</v>
      </c>
      <c r="AD42">
        <f>+AD41*(1-Probs_Mujeres!AD41)</f>
        <v>96436.774839016274</v>
      </c>
      <c r="AE42">
        <f>+AE41*(1-Probs_Mujeres!AE41)</f>
        <v>96436.7750534558</v>
      </c>
      <c r="AF42">
        <f>+AF41*(1-Probs_Mujeres!AF41)</f>
        <v>96436.775198339528</v>
      </c>
      <c r="AG42">
        <f>+AG41*(1-Probs_Mujeres!AG41)</f>
        <v>96436.775296228545</v>
      </c>
      <c r="AH42">
        <f>+AH41*(1-Probs_Mujeres!AH41)</f>
        <v>96436.775362366301</v>
      </c>
    </row>
    <row r="43" spans="1:34" x14ac:dyDescent="0.25">
      <c r="A43">
        <f>+Probs_Hombres!A43</f>
        <v>41</v>
      </c>
      <c r="B43">
        <f>+B42*(1-Probs_Mujeres!B42)</f>
        <v>96264.797537046004</v>
      </c>
      <c r="C43">
        <f>+C42*(1-Probs_Mujeres!C42)</f>
        <v>96277.968586980278</v>
      </c>
      <c r="D43">
        <f>+D42*(1-Probs_Mujeres!D42)</f>
        <v>96286.826909199575</v>
      </c>
      <c r="E43">
        <f>+E42*(1-Probs_Mujeres!E42)</f>
        <v>96292.793519295563</v>
      </c>
      <c r="F43">
        <f>+F42*(1-Probs_Mujeres!F42)</f>
        <v>96296.816415217007</v>
      </c>
      <c r="G43">
        <f>+G42*(1-Probs_Mujeres!G42)</f>
        <v>96299.530624884093</v>
      </c>
      <c r="H43">
        <f>+H42*(1-Probs_Mujeres!H42)</f>
        <v>96301.362711796144</v>
      </c>
      <c r="I43">
        <f>+I42*(1-Probs_Mujeres!I42)</f>
        <v>96302.599748250781</v>
      </c>
      <c r="J43">
        <f>+J42*(1-Probs_Mujeres!J42)</f>
        <v>96303.435176678846</v>
      </c>
      <c r="K43">
        <f>+K42*(1-Probs_Mujeres!K42)</f>
        <v>96303.999459735278</v>
      </c>
      <c r="L43">
        <f>+L42*(1-Probs_Mujeres!L42)</f>
        <v>96304.380636116606</v>
      </c>
      <c r="M43">
        <f>+M42*(1-Probs_Mujeres!M42)</f>
        <v>96304.638139414965</v>
      </c>
      <c r="N43">
        <f>+N42*(1-Probs_Mujeres!N42)</f>
        <v>96304.812103027798</v>
      </c>
      <c r="O43">
        <f>+O42*(1-Probs_Mujeres!O42)</f>
        <v>96304.929632489628</v>
      </c>
      <c r="P43">
        <f>+P42*(1-Probs_Mujeres!P42)</f>
        <v>96305.009036723961</v>
      </c>
      <c r="Q43">
        <f>+Q42*(1-Probs_Mujeres!Q42)</f>
        <v>96305.062683839555</v>
      </c>
      <c r="R43">
        <f>+R42*(1-Probs_Mujeres!R42)</f>
        <v>96305.098929248939</v>
      </c>
      <c r="S43">
        <f>+S42*(1-Probs_Mujeres!S42)</f>
        <v>96305.123417754992</v>
      </c>
      <c r="T43">
        <f>+T42*(1-Probs_Mujeres!T42)</f>
        <v>96305.13996300596</v>
      </c>
      <c r="U43">
        <f>+U42*(1-Probs_Mujeres!U42)</f>
        <v>96305.151141560258</v>
      </c>
      <c r="V43">
        <f>+V42*(1-Probs_Mujeres!V42)</f>
        <v>96305.158694199374</v>
      </c>
      <c r="W43">
        <f>+W42*(1-Probs_Mujeres!W42)</f>
        <v>96305.163797044443</v>
      </c>
      <c r="X43">
        <f>+X42*(1-Probs_Mujeres!X42)</f>
        <v>96305.167244720069</v>
      </c>
      <c r="Y43">
        <f>+Y42*(1-Probs_Mujeres!Y42)</f>
        <v>96305.169574101819</v>
      </c>
      <c r="Z43">
        <f>+Z42*(1-Probs_Mujeres!Z42)</f>
        <v>96305.171147922025</v>
      </c>
      <c r="AA43">
        <f>+AA42*(1-Probs_Mujeres!AA42)</f>
        <v>96305.172211255966</v>
      </c>
      <c r="AB43">
        <f>+AB42*(1-Probs_Mujeres!AB42)</f>
        <v>96305.172929685694</v>
      </c>
      <c r="AC43">
        <f>+AC42*(1-Probs_Mujeres!AC42)</f>
        <v>96305.173415084733</v>
      </c>
      <c r="AD43">
        <f>+AD42*(1-Probs_Mujeres!AD42)</f>
        <v>96305.173743039384</v>
      </c>
      <c r="AE43">
        <f>+AE42*(1-Probs_Mujeres!AE42)</f>
        <v>96305.173964618341</v>
      </c>
      <c r="AF43">
        <f>+AF42*(1-Probs_Mujeres!AF42)</f>
        <v>96305.174114325739</v>
      </c>
      <c r="AG43">
        <f>+AG42*(1-Probs_Mujeres!AG42)</f>
        <v>96305.174215473817</v>
      </c>
      <c r="AH43">
        <f>+AH42*(1-Probs_Mujeres!AH42)</f>
        <v>96305.174283813525</v>
      </c>
    </row>
    <row r="44" spans="1:34" x14ac:dyDescent="0.25">
      <c r="A44">
        <f>+Probs_Hombres!A44</f>
        <v>42</v>
      </c>
      <c r="B44">
        <f>+B43*(1-Probs_Mujeres!B43)</f>
        <v>96121.242599073739</v>
      </c>
      <c r="C44">
        <f>+C43*(1-Probs_Mujeres!C43)</f>
        <v>96134.830278487905</v>
      </c>
      <c r="D44">
        <f>+D43*(1-Probs_Mujeres!D43)</f>
        <v>96143.969469454358</v>
      </c>
      <c r="E44">
        <f>+E43*(1-Probs_Mujeres!E43)</f>
        <v>96150.125561655295</v>
      </c>
      <c r="F44">
        <f>+F43*(1-Probs_Mujeres!F43)</f>
        <v>96154.276349644671</v>
      </c>
      <c r="G44">
        <f>+G43*(1-Probs_Mujeres!G43)</f>
        <v>96157.076909132767</v>
      </c>
      <c r="H44">
        <f>+H43*(1-Probs_Mujeres!H43)</f>
        <v>96158.967310410124</v>
      </c>
      <c r="I44">
        <f>+I43*(1-Probs_Mujeres!I43)</f>
        <v>96160.243734031217</v>
      </c>
      <c r="J44">
        <f>+J43*(1-Probs_Mujeres!J43)</f>
        <v>96161.105768356036</v>
      </c>
      <c r="K44">
        <f>+K43*(1-Probs_Mujeres!K43)</f>
        <v>96161.688024834933</v>
      </c>
      <c r="L44">
        <f>+L43*(1-Probs_Mujeres!L43)</f>
        <v>96162.081343594138</v>
      </c>
      <c r="M44">
        <f>+M43*(1-Probs_Mujeres!M43)</f>
        <v>96162.347050224242</v>
      </c>
      <c r="N44">
        <f>+N43*(1-Probs_Mujeres!N43)</f>
        <v>96162.5265560853</v>
      </c>
      <c r="O44">
        <f>+O43*(1-Probs_Mujeres!O43)</f>
        <v>96162.647829995651</v>
      </c>
      <c r="P44">
        <f>+P43*(1-Probs_Mujeres!P43)</f>
        <v>96162.729764075164</v>
      </c>
      <c r="Q44">
        <f>+Q43*(1-Probs_Mujeres!Q43)</f>
        <v>96162.785120429966</v>
      </c>
      <c r="R44">
        <f>+R43*(1-Probs_Mujeres!R43)</f>
        <v>96162.822520657661</v>
      </c>
      <c r="S44">
        <f>+S43*(1-Probs_Mujeres!S43)</f>
        <v>96162.84778939934</v>
      </c>
      <c r="T44">
        <f>+T43*(1-Probs_Mujeres!T43)</f>
        <v>96162.864861805821</v>
      </c>
      <c r="U44">
        <f>+U43*(1-Probs_Mujeres!U43)</f>
        <v>96162.876396526</v>
      </c>
      <c r="V44">
        <f>+V43*(1-Probs_Mujeres!V43)</f>
        <v>96162.884189804274</v>
      </c>
      <c r="W44">
        <f>+W43*(1-Probs_Mujeres!W43)</f>
        <v>96162.889455234355</v>
      </c>
      <c r="X44">
        <f>+X43*(1-Probs_Mujeres!X43)</f>
        <v>96162.893012758694</v>
      </c>
      <c r="Y44">
        <f>+Y43*(1-Probs_Mujeres!Y43)</f>
        <v>96162.895416358486</v>
      </c>
      <c r="Z44">
        <f>+Z43*(1-Probs_Mujeres!Z43)</f>
        <v>96162.897040323267</v>
      </c>
      <c r="AA44">
        <f>+AA43*(1-Probs_Mujeres!AA43)</f>
        <v>96162.89813753686</v>
      </c>
      <c r="AB44">
        <f>+AB43*(1-Probs_Mujeres!AB43)</f>
        <v>96162.898878856999</v>
      </c>
      <c r="AC44">
        <f>+AC43*(1-Probs_Mujeres!AC43)</f>
        <v>96162.899379721683</v>
      </c>
      <c r="AD44">
        <f>+AD43*(1-Probs_Mujeres!AD43)</f>
        <v>96162.899718125525</v>
      </c>
      <c r="AE44">
        <f>+AE43*(1-Probs_Mujeres!AE43)</f>
        <v>96162.899946764373</v>
      </c>
      <c r="AF44">
        <f>+AF43*(1-Probs_Mujeres!AF43)</f>
        <v>96162.900101241714</v>
      </c>
      <c r="AG44">
        <f>+AG43*(1-Probs_Mujeres!AG43)</f>
        <v>96162.900205612546</v>
      </c>
      <c r="AH44">
        <f>+AH43*(1-Probs_Mujeres!AH43)</f>
        <v>96162.900276129672</v>
      </c>
    </row>
    <row r="45" spans="1:34" x14ac:dyDescent="0.25">
      <c r="A45">
        <f>+Probs_Hombres!A45</f>
        <v>43</v>
      </c>
      <c r="B45">
        <f>+B44*(1-Probs_Mujeres!B44)</f>
        <v>95967.109999563589</v>
      </c>
      <c r="C45">
        <f>+C44*(1-Probs_Mujeres!C44)</f>
        <v>95981.083746834949</v>
      </c>
      <c r="D45">
        <f>+D44*(1-Probs_Mujeres!D44)</f>
        <v>95990.483300773383</v>
      </c>
      <c r="E45">
        <f>+E44*(1-Probs_Mujeres!E44)</f>
        <v>95996.815085584152</v>
      </c>
      <c r="F45">
        <f>+F44*(1-Probs_Mujeres!F44)</f>
        <v>96001.084478532677</v>
      </c>
      <c r="G45">
        <f>+G44*(1-Probs_Mujeres!G44)</f>
        <v>96003.965126606869</v>
      </c>
      <c r="H45">
        <f>+H44*(1-Probs_Mujeres!H44)</f>
        <v>96005.909618070509</v>
      </c>
      <c r="I45">
        <f>+I44*(1-Probs_Mujeres!I44)</f>
        <v>96007.222577645894</v>
      </c>
      <c r="J45">
        <f>+J44*(1-Probs_Mujeres!J44)</f>
        <v>96008.109292758425</v>
      </c>
      <c r="K45">
        <f>+K44*(1-Probs_Mujeres!K44)</f>
        <v>96008.708222565576</v>
      </c>
      <c r="L45">
        <f>+L44*(1-Probs_Mujeres!L44)</f>
        <v>96009.112805575045</v>
      </c>
      <c r="M45">
        <f>+M44*(1-Probs_Mujeres!M44)</f>
        <v>96009.38612236132</v>
      </c>
      <c r="N45">
        <f>+N44*(1-Probs_Mujeres!N44)</f>
        <v>96009.570769753598</v>
      </c>
      <c r="O45">
        <f>+O44*(1-Probs_Mujeres!O44)</f>
        <v>96009.695517397762</v>
      </c>
      <c r="P45">
        <f>+P44*(1-Probs_Mujeres!P44)</f>
        <v>96009.779798428572</v>
      </c>
      <c r="Q45">
        <f>+Q44*(1-Probs_Mujeres!Q44)</f>
        <v>96009.836740457627</v>
      </c>
      <c r="R45">
        <f>+R44*(1-Probs_Mujeres!R44)</f>
        <v>96009.875212020735</v>
      </c>
      <c r="S45">
        <f>+S44*(1-Probs_Mujeres!S44)</f>
        <v>96009.901204594804</v>
      </c>
      <c r="T45">
        <f>+T44*(1-Probs_Mujeres!T44)</f>
        <v>96009.918766049072</v>
      </c>
      <c r="U45">
        <f>+U44*(1-Probs_Mujeres!U44)</f>
        <v>96009.930631188297</v>
      </c>
      <c r="V45">
        <f>+V44*(1-Probs_Mujeres!V44)</f>
        <v>96009.938647710267</v>
      </c>
      <c r="W45">
        <f>+W44*(1-Probs_Mujeres!W44)</f>
        <v>96009.944063972362</v>
      </c>
      <c r="X45">
        <f>+X44*(1-Probs_Mujeres!X44)</f>
        <v>96009.947723404621</v>
      </c>
      <c r="Y45">
        <f>+Y44*(1-Probs_Mujeres!Y44)</f>
        <v>96009.950195857367</v>
      </c>
      <c r="Z45">
        <f>+Z44*(1-Probs_Mujeres!Z44)</f>
        <v>96009.951866341886</v>
      </c>
      <c r="AA45">
        <f>+AA44*(1-Probs_Mujeres!AA44)</f>
        <v>96009.95299498603</v>
      </c>
      <c r="AB45">
        <f>+AB44*(1-Probs_Mujeres!AB44)</f>
        <v>96009.953757541865</v>
      </c>
      <c r="AC45">
        <f>+AC44*(1-Probs_Mujeres!AC44)</f>
        <v>96009.954272754214</v>
      </c>
      <c r="AD45">
        <f>+AD44*(1-Probs_Mujeres!AD44)</f>
        <v>96009.954620851917</v>
      </c>
      <c r="AE45">
        <f>+AE44*(1-Probs_Mujeres!AE44)</f>
        <v>96009.954856040305</v>
      </c>
      <c r="AF45">
        <f>+AF44*(1-Probs_Mujeres!AF44)</f>
        <v>96009.955014942767</v>
      </c>
      <c r="AG45">
        <f>+AG44*(1-Probs_Mujeres!AG44)</f>
        <v>96009.955122303392</v>
      </c>
      <c r="AH45">
        <f>+AH44*(1-Probs_Mujeres!AH44)</f>
        <v>96009.955194840542</v>
      </c>
    </row>
    <row r="46" spans="1:34" x14ac:dyDescent="0.25">
      <c r="A46">
        <f>+Probs_Hombres!A46</f>
        <v>44</v>
      </c>
      <c r="B46">
        <f>+B45*(1-Probs_Mujeres!B45)</f>
        <v>95803.275632406003</v>
      </c>
      <c r="C46">
        <f>+C45*(1-Probs_Mujeres!C45)</f>
        <v>95817.634504946196</v>
      </c>
      <c r="D46">
        <f>+D45*(1-Probs_Mujeres!D45)</f>
        <v>95827.293825260291</v>
      </c>
      <c r="E46">
        <f>+E45*(1-Probs_Mujeres!E45)</f>
        <v>95833.800917905246</v>
      </c>
      <c r="F46">
        <f>+F45*(1-Probs_Mujeres!F45)</f>
        <v>95838.188664180328</v>
      </c>
      <c r="G46">
        <f>+G45*(1-Probs_Mujeres!G45)</f>
        <v>95841.149234627097</v>
      </c>
      <c r="H46">
        <f>+H45*(1-Probs_Mujeres!H45)</f>
        <v>95843.147705709096</v>
      </c>
      <c r="I46">
        <f>+I45*(1-Probs_Mujeres!I45)</f>
        <v>95844.497127324954</v>
      </c>
      <c r="J46">
        <f>+J45*(1-Probs_Mujeres!J45)</f>
        <v>95845.408473646676</v>
      </c>
      <c r="K46">
        <f>+K45*(1-Probs_Mujeres!K45)</f>
        <v>95846.024043449419</v>
      </c>
      <c r="L46">
        <f>+L45*(1-Probs_Mujeres!L45)</f>
        <v>95846.439868263391</v>
      </c>
      <c r="M46">
        <f>+M45*(1-Probs_Mujeres!M45)</f>
        <v>95846.720780074873</v>
      </c>
      <c r="N46">
        <f>+N45*(1-Probs_Mujeres!N45)</f>
        <v>95846.910558790929</v>
      </c>
      <c r="O46">
        <f>+O45*(1-Probs_Mujeres!O45)</f>
        <v>95847.038773279492</v>
      </c>
      <c r="P46">
        <f>+P45*(1-Probs_Mujeres!P45)</f>
        <v>95847.125396610121</v>
      </c>
      <c r="Q46">
        <f>+Q45*(1-Probs_Mujeres!Q45)</f>
        <v>95847.183921172196</v>
      </c>
      <c r="R46">
        <f>+R45*(1-Probs_Mujeres!R45)</f>
        <v>95847.223461949048</v>
      </c>
      <c r="S46">
        <f>+S45*(1-Probs_Mujeres!S45)</f>
        <v>95847.250176922331</v>
      </c>
      <c r="T46">
        <f>+T45*(1-Probs_Mujeres!T45)</f>
        <v>95847.268226456232</v>
      </c>
      <c r="U46">
        <f>+U45*(1-Probs_Mujeres!U45)</f>
        <v>95847.28042136044</v>
      </c>
      <c r="V46">
        <f>+V45*(1-Probs_Mujeres!V45)</f>
        <v>95847.288660684208</v>
      </c>
      <c r="W46">
        <f>+W45*(1-Probs_Mujeres!W45)</f>
        <v>95847.294227479768</v>
      </c>
      <c r="X46">
        <f>+X45*(1-Probs_Mujeres!X45)</f>
        <v>95847.297988618258</v>
      </c>
      <c r="Y46">
        <f>+Y45*(1-Probs_Mujeres!Y45)</f>
        <v>95847.300529787695</v>
      </c>
      <c r="Z46">
        <f>+Z45*(1-Probs_Mujeres!Z45)</f>
        <v>95847.302246699881</v>
      </c>
      <c r="AA46">
        <f>+AA45*(1-Probs_Mujeres!AA45)</f>
        <v>95847.303406712352</v>
      </c>
      <c r="AB46">
        <f>+AB45*(1-Probs_Mujeres!AB45)</f>
        <v>95847.304190461873</v>
      </c>
      <c r="AC46">
        <f>+AC45*(1-Probs_Mujeres!AC45)</f>
        <v>95847.304719993495</v>
      </c>
      <c r="AD46">
        <f>+AD45*(1-Probs_Mujeres!AD45)</f>
        <v>95847.305077765865</v>
      </c>
      <c r="AE46">
        <f>+AE45*(1-Probs_Mujeres!AE45)</f>
        <v>95847.305319490828</v>
      </c>
      <c r="AF46">
        <f>+AF45*(1-Probs_Mujeres!AF45)</f>
        <v>95847.305482809665</v>
      </c>
      <c r="AG46">
        <f>+AG45*(1-Probs_Mujeres!AG45)</f>
        <v>95847.30559315416</v>
      </c>
      <c r="AH46">
        <f>+AH45*(1-Probs_Mujeres!AH45)</f>
        <v>95847.305667707333</v>
      </c>
    </row>
    <row r="47" spans="1:34" x14ac:dyDescent="0.25">
      <c r="A47">
        <f>+Probs_Hombres!A47</f>
        <v>45</v>
      </c>
      <c r="B47">
        <f>+B46*(1-Probs_Mujeres!B46)</f>
        <v>95629.767484672746</v>
      </c>
      <c r="C47">
        <f>+C46*(1-Probs_Mujeres!C46)</f>
        <v>95644.545536967373</v>
      </c>
      <c r="D47">
        <f>+D46*(1-Probs_Mujeres!D46)</f>
        <v>95654.487576817191</v>
      </c>
      <c r="E47">
        <f>+E46*(1-Probs_Mujeres!E46)</f>
        <v>95661.185460097971</v>
      </c>
      <c r="F47">
        <f>+F46*(1-Probs_Mujeres!F46)</f>
        <v>95665.702008968568</v>
      </c>
      <c r="G47">
        <f>+G46*(1-Probs_Mujeres!G46)</f>
        <v>95668.749556468159</v>
      </c>
      <c r="H47">
        <f>+H46*(1-Probs_Mujeres!H46)</f>
        <v>95670.806771188669</v>
      </c>
      <c r="I47">
        <f>+I46*(1-Probs_Mujeres!I46)</f>
        <v>95672.195872509139</v>
      </c>
      <c r="J47">
        <f>+J46*(1-Probs_Mujeres!J46)</f>
        <v>95673.134023520397</v>
      </c>
      <c r="K47">
        <f>+K46*(1-Probs_Mujeres!K46)</f>
        <v>95673.767701579141</v>
      </c>
      <c r="L47">
        <f>+L46*(1-Probs_Mujeres!L46)</f>
        <v>95674.195760107745</v>
      </c>
      <c r="M47">
        <f>+M46*(1-Probs_Mujeres!M46)</f>
        <v>95674.484937070229</v>
      </c>
      <c r="N47">
        <f>+N46*(1-Probs_Mujeres!N46)</f>
        <v>95674.680299851592</v>
      </c>
      <c r="O47">
        <f>+O46*(1-Probs_Mujeres!O46)</f>
        <v>95674.812287064575</v>
      </c>
      <c r="P47">
        <f>+P46*(1-Probs_Mujeres!P46)</f>
        <v>95674.901459354995</v>
      </c>
      <c r="Q47">
        <f>+Q46*(1-Probs_Mujeres!Q46)</f>
        <v>95674.961706075585</v>
      </c>
      <c r="R47">
        <f>+R46*(1-Probs_Mujeres!R46)</f>
        <v>95675.002410401692</v>
      </c>
      <c r="S47">
        <f>+S46*(1-Probs_Mujeres!S46)</f>
        <v>95675.02991151053</v>
      </c>
      <c r="T47">
        <f>+T46*(1-Probs_Mujeres!T46)</f>
        <v>95675.04849218663</v>
      </c>
      <c r="U47">
        <f>+U46*(1-Probs_Mujeres!U46)</f>
        <v>95675.061045950482</v>
      </c>
      <c r="V47">
        <f>+V46*(1-Probs_Mujeres!V46)</f>
        <v>95675.069527733503</v>
      </c>
      <c r="W47">
        <f>+W46*(1-Probs_Mujeres!W46)</f>
        <v>95675.075258343873</v>
      </c>
      <c r="X47">
        <f>+X46*(1-Probs_Mujeres!X46)</f>
        <v>95675.079130161961</v>
      </c>
      <c r="Y47">
        <f>+Y46*(1-Probs_Mujeres!Y46)</f>
        <v>95675.081746110838</v>
      </c>
      <c r="Z47">
        <f>+Z46*(1-Probs_Mujeres!Z46)</f>
        <v>95675.083513546924</v>
      </c>
      <c r="AA47">
        <f>+AA46*(1-Probs_Mujeres!AA46)</f>
        <v>95675.084707695307</v>
      </c>
      <c r="AB47">
        <f>+AB46*(1-Probs_Mujeres!AB46)</f>
        <v>95675.085514508391</v>
      </c>
      <c r="AC47">
        <f>+AC46*(1-Probs_Mujeres!AC46)</f>
        <v>95675.086059622656</v>
      </c>
      <c r="AD47">
        <f>+AD46*(1-Probs_Mujeres!AD46)</f>
        <v>95675.086427923263</v>
      </c>
      <c r="AE47">
        <f>+AE46*(1-Probs_Mujeres!AE46)</f>
        <v>95675.086676761523</v>
      </c>
      <c r="AF47">
        <f>+AF46*(1-Probs_Mujeres!AF46)</f>
        <v>95675.086844886377</v>
      </c>
      <c r="AG47">
        <f>+AG46*(1-Probs_Mujeres!AG46)</f>
        <v>95675.086958478016</v>
      </c>
      <c r="AH47">
        <f>+AH46*(1-Probs_Mujeres!AH46)</f>
        <v>95675.087035225064</v>
      </c>
    </row>
    <row r="48" spans="1:34" x14ac:dyDescent="0.25">
      <c r="A48">
        <f>+Probs_Hombres!A48</f>
        <v>46</v>
      </c>
      <c r="B48">
        <f>+B47*(1-Probs_Mujeres!B47)</f>
        <v>95445.367241173619</v>
      </c>
      <c r="C48">
        <f>+C47*(1-Probs_Mujeres!C47)</f>
        <v>95460.58803838829</v>
      </c>
      <c r="D48">
        <f>+D47*(1-Probs_Mujeres!D47)</f>
        <v>95470.828697044926</v>
      </c>
      <c r="E48">
        <f>+E47*(1-Probs_Mujeres!E47)</f>
        <v>95477.728102955676</v>
      </c>
      <c r="F48">
        <f>+F47*(1-Probs_Mujeres!F47)</f>
        <v>95482.380700730049</v>
      </c>
      <c r="G48">
        <f>+G47*(1-Probs_Mujeres!G47)</f>
        <v>95485.520119049994</v>
      </c>
      <c r="H48">
        <f>+H47*(1-Probs_Mujeres!H47)</f>
        <v>95487.639382861089</v>
      </c>
      <c r="I48">
        <f>+I47*(1-Probs_Mujeres!I47)</f>
        <v>95489.070396736643</v>
      </c>
      <c r="J48">
        <f>+J47*(1-Probs_Mujeres!J47)</f>
        <v>95490.03686083667</v>
      </c>
      <c r="K48">
        <f>+K47*(1-Probs_Mujeres!K47)</f>
        <v>95490.689666192789</v>
      </c>
      <c r="L48">
        <f>+L47*(1-Probs_Mujeres!L47)</f>
        <v>95491.130646898164</v>
      </c>
      <c r="M48">
        <f>+M47*(1-Probs_Mujeres!M47)</f>
        <v>95491.428554144426</v>
      </c>
      <c r="N48">
        <f>+N47*(1-Probs_Mujeres!N47)</f>
        <v>95491.629815244218</v>
      </c>
      <c r="O48">
        <f>+O47*(1-Probs_Mujeres!O47)</f>
        <v>95491.765787499317</v>
      </c>
      <c r="P48">
        <f>+P47*(1-Probs_Mujeres!P47)</f>
        <v>95491.857652197854</v>
      </c>
      <c r="Q48">
        <f>+Q47*(1-Probs_Mujeres!Q47)</f>
        <v>95491.919717995421</v>
      </c>
      <c r="R48">
        <f>+R47*(1-Probs_Mujeres!R47)</f>
        <v>95491.961651352321</v>
      </c>
      <c r="S48">
        <f>+S47*(1-Probs_Mujeres!S47)</f>
        <v>95491.989982838422</v>
      </c>
      <c r="T48">
        <f>+T47*(1-Probs_Mujeres!T47)</f>
        <v>95492.009124548058</v>
      </c>
      <c r="U48">
        <f>+U47*(1-Probs_Mujeres!U47)</f>
        <v>95492.0220573673</v>
      </c>
      <c r="V48">
        <f>+V47*(1-Probs_Mujeres!V47)</f>
        <v>95492.030795254585</v>
      </c>
      <c r="W48">
        <f>+W47*(1-Probs_Mujeres!W47)</f>
        <v>95492.036698898839</v>
      </c>
      <c r="X48">
        <f>+X47*(1-Probs_Mujeres!X47)</f>
        <v>95492.040687625311</v>
      </c>
      <c r="Y48">
        <f>+Y47*(1-Probs_Mujeres!Y47)</f>
        <v>95492.043382562042</v>
      </c>
      <c r="Z48">
        <f>+Z47*(1-Probs_Mujeres!Z47)</f>
        <v>95492.045203365386</v>
      </c>
      <c r="AA48">
        <f>+AA47*(1-Probs_Mujeres!AA47)</f>
        <v>95492.046433570766</v>
      </c>
      <c r="AB48">
        <f>+AB47*(1-Probs_Mujeres!AB47)</f>
        <v>95492.047264745386</v>
      </c>
      <c r="AC48">
        <f>+AC47*(1-Probs_Mujeres!AC47)</f>
        <v>95492.047826319234</v>
      </c>
      <c r="AD48">
        <f>+AD47*(1-Probs_Mujeres!AD47)</f>
        <v>95492.04820574059</v>
      </c>
      <c r="AE48">
        <f>+AE47*(1-Probs_Mujeres!AE47)</f>
        <v>95492.048462092454</v>
      </c>
      <c r="AF48">
        <f>+AF47*(1-Probs_Mujeres!AF47)</f>
        <v>95492.048635293802</v>
      </c>
      <c r="AG48">
        <f>+AG47*(1-Probs_Mujeres!AG47)</f>
        <v>95492.048752315313</v>
      </c>
      <c r="AH48">
        <f>+AH47*(1-Probs_Mujeres!AH47)</f>
        <v>95492.04883137971</v>
      </c>
    </row>
    <row r="49" spans="1:34" x14ac:dyDescent="0.25">
      <c r="A49">
        <f>+Probs_Hombres!A49</f>
        <v>47</v>
      </c>
      <c r="B49">
        <f>+B48*(1-Probs_Mujeres!B48)</f>
        <v>95246.306634427645</v>
      </c>
      <c r="C49">
        <f>+C48*(1-Probs_Mujeres!C48)</f>
        <v>95261.998353667455</v>
      </c>
      <c r="D49">
        <f>+D48*(1-Probs_Mujeres!D48)</f>
        <v>95272.556648002035</v>
      </c>
      <c r="E49">
        <f>+E48*(1-Probs_Mujeres!E48)</f>
        <v>95279.670415625864</v>
      </c>
      <c r="F49">
        <f>+F48*(1-Probs_Mujeres!F48)</f>
        <v>95284.467732567675</v>
      </c>
      <c r="G49">
        <f>+G48*(1-Probs_Mujeres!G48)</f>
        <v>95287.704877702257</v>
      </c>
      <c r="H49">
        <f>+H48*(1-Probs_Mujeres!H48)</f>
        <v>95289.890146240694</v>
      </c>
      <c r="I49">
        <f>+I48*(1-Probs_Mujeres!I48)</f>
        <v>95291.365744842347</v>
      </c>
      <c r="J49">
        <f>+J48*(1-Probs_Mujeres!J48)</f>
        <v>95292.362327266354</v>
      </c>
      <c r="K49">
        <f>+K48*(1-Probs_Mujeres!K48)</f>
        <v>95293.03547952151</v>
      </c>
      <c r="L49">
        <f>+L48*(1-Probs_Mujeres!L48)</f>
        <v>95293.490206375063</v>
      </c>
      <c r="M49">
        <f>+M48*(1-Probs_Mujeres!M48)</f>
        <v>95293.797400594529</v>
      </c>
      <c r="N49">
        <f>+N48*(1-Probs_Mujeres!N48)</f>
        <v>95294.004936125741</v>
      </c>
      <c r="O49">
        <f>+O48*(1-Probs_Mujeres!O48)</f>
        <v>95294.145147535877</v>
      </c>
      <c r="P49">
        <f>+P48*(1-Probs_Mujeres!P48)</f>
        <v>95294.239876329477</v>
      </c>
      <c r="Q49">
        <f>+Q48*(1-Probs_Mujeres!Q48)</f>
        <v>95294.303877201644</v>
      </c>
      <c r="R49">
        <f>+R48*(1-Probs_Mujeres!R48)</f>
        <v>95294.34711796153</v>
      </c>
      <c r="S49">
        <f>+S48*(1-Probs_Mujeres!S48)</f>
        <v>95294.376332776053</v>
      </c>
      <c r="T49">
        <f>+T48*(1-Probs_Mujeres!T48)</f>
        <v>95294.396071295021</v>
      </c>
      <c r="U49">
        <f>+U48*(1-Probs_Mujeres!U48)</f>
        <v>95294.40940734114</v>
      </c>
      <c r="V49">
        <f>+V48*(1-Probs_Mujeres!V48)</f>
        <v>95294.418417663881</v>
      </c>
      <c r="W49">
        <f>+W48*(1-Probs_Mujeres!W48)</f>
        <v>95294.42450537601</v>
      </c>
      <c r="X49">
        <f>+X48*(1-Probs_Mujeres!X48)</f>
        <v>95294.428618465856</v>
      </c>
      <c r="Y49">
        <f>+Y48*(1-Probs_Mujeres!Y48)</f>
        <v>95294.431397427325</v>
      </c>
      <c r="Z49">
        <f>+Z48*(1-Probs_Mujeres!Z48)</f>
        <v>95294.433275001036</v>
      </c>
      <c r="AA49">
        <f>+AA48*(1-Probs_Mujeres!AA48)</f>
        <v>95294.434543562689</v>
      </c>
      <c r="AB49">
        <f>+AB48*(1-Probs_Mujeres!AB48)</f>
        <v>95294.435400652321</v>
      </c>
      <c r="AC49">
        <f>+AC48*(1-Probs_Mujeres!AC48)</f>
        <v>95294.435979735354</v>
      </c>
      <c r="AD49">
        <f>+AD48*(1-Probs_Mujeres!AD48)</f>
        <v>95294.436370986587</v>
      </c>
      <c r="AE49">
        <f>+AE48*(1-Probs_Mujeres!AE48)</f>
        <v>95294.436635331193</v>
      </c>
      <c r="AF49">
        <f>+AF48*(1-Probs_Mujeres!AF48)</f>
        <v>95294.436813932742</v>
      </c>
      <c r="AG49">
        <f>+AG48*(1-Probs_Mujeres!AG48)</f>
        <v>95294.436934602854</v>
      </c>
      <c r="AH49">
        <f>+AH48*(1-Probs_Mujeres!AH48)</f>
        <v>95294.437016132375</v>
      </c>
    </row>
    <row r="50" spans="1:34" x14ac:dyDescent="0.25">
      <c r="A50">
        <f>+Probs_Hombres!A50</f>
        <v>48</v>
      </c>
      <c r="B50">
        <f>+B49*(1-Probs_Mujeres!B49)</f>
        <v>95029.802178868951</v>
      </c>
      <c r="C50">
        <f>+C49*(1-Probs_Mujeres!C49)</f>
        <v>95046.027858502566</v>
      </c>
      <c r="D50">
        <f>+D49*(1-Probs_Mujeres!D49)</f>
        <v>95056.946274775197</v>
      </c>
      <c r="E50">
        <f>+E49*(1-Probs_Mujeres!E49)</f>
        <v>95064.303061653045</v>
      </c>
      <c r="F50">
        <f>+F49*(1-Probs_Mujeres!F49)</f>
        <v>95069.264438098951</v>
      </c>
      <c r="G50">
        <f>+G49*(1-Probs_Mujeres!G49)</f>
        <v>95072.61236718185</v>
      </c>
      <c r="H50">
        <f>+H49*(1-Probs_Mujeres!H49)</f>
        <v>95074.872457815683</v>
      </c>
      <c r="I50">
        <f>+I49*(1-Probs_Mujeres!I49)</f>
        <v>95076.398596429353</v>
      </c>
      <c r="J50">
        <f>+J49*(1-Probs_Mujeres!J49)</f>
        <v>95077.429319855408</v>
      </c>
      <c r="K50">
        <f>+K49*(1-Probs_Mujeres!K49)</f>
        <v>95078.125536456471</v>
      </c>
      <c r="L50">
        <f>+L49*(1-Probs_Mujeres!L49)</f>
        <v>95078.59584527454</v>
      </c>
      <c r="M50">
        <f>+M49*(1-Probs_Mujeres!M49)</f>
        <v>95078.91356672658</v>
      </c>
      <c r="N50">
        <f>+N49*(1-Probs_Mujeres!N49)</f>
        <v>95079.128214615906</v>
      </c>
      <c r="O50">
        <f>+O49*(1-Probs_Mujeres!O49)</f>
        <v>95079.273231298415</v>
      </c>
      <c r="P50">
        <f>+P49*(1-Probs_Mujeres!P49)</f>
        <v>95079.371206669515</v>
      </c>
      <c r="Q50">
        <f>+Q49*(1-Probs_Mujeres!Q49)</f>
        <v>95079.437401032512</v>
      </c>
      <c r="R50">
        <f>+R49*(1-Probs_Mujeres!R49)</f>
        <v>95079.482123789683</v>
      </c>
      <c r="S50">
        <f>+S49*(1-Probs_Mujeres!S49)</f>
        <v>95079.512339894573</v>
      </c>
      <c r="T50">
        <f>+T49*(1-Probs_Mujeres!T49)</f>
        <v>95079.532754922213</v>
      </c>
      <c r="U50">
        <f>+U49*(1-Probs_Mujeres!U49)</f>
        <v>95079.546548043028</v>
      </c>
      <c r="V50">
        <f>+V49*(1-Probs_Mujeres!V49)</f>
        <v>95079.555867182848</v>
      </c>
      <c r="W50">
        <f>+W49*(1-Probs_Mujeres!W49)</f>
        <v>95079.56216354364</v>
      </c>
      <c r="X50">
        <f>+X49*(1-Probs_Mujeres!X49)</f>
        <v>95079.566417604612</v>
      </c>
      <c r="Y50">
        <f>+Y49*(1-Probs_Mujeres!Y49)</f>
        <v>95079.56929181164</v>
      </c>
      <c r="Z50">
        <f>+Z49*(1-Probs_Mujeres!Z49)</f>
        <v>95079.571233736948</v>
      </c>
      <c r="AA50">
        <f>+AA49*(1-Probs_Mujeres!AA49)</f>
        <v>95079.572545777046</v>
      </c>
      <c r="AB50">
        <f>+AB49*(1-Probs_Mujeres!AB49)</f>
        <v>95079.573432242425</v>
      </c>
      <c r="AC50">
        <f>+AC49*(1-Probs_Mujeres!AC49)</f>
        <v>95079.574031172859</v>
      </c>
      <c r="AD50">
        <f>+AD49*(1-Probs_Mujeres!AD49)</f>
        <v>95079.574435833769</v>
      </c>
      <c r="AE50">
        <f>+AE49*(1-Probs_Mujeres!AE49)</f>
        <v>95079.57470923847</v>
      </c>
      <c r="AF50">
        <f>+AF49*(1-Probs_Mujeres!AF49)</f>
        <v>95079.574893961384</v>
      </c>
      <c r="AG50">
        <f>+AG49*(1-Probs_Mujeres!AG49)</f>
        <v>95079.575018767326</v>
      </c>
      <c r="AH50">
        <f>+AH49*(1-Probs_Mujeres!AH49)</f>
        <v>95079.575103091178</v>
      </c>
    </row>
    <row r="51" spans="1:34" x14ac:dyDescent="0.25">
      <c r="A51">
        <f>+Probs_Hombres!A51</f>
        <v>49</v>
      </c>
      <c r="B51">
        <f>+B50*(1-Probs_Mujeres!B50)</f>
        <v>94794.302149790383</v>
      </c>
      <c r="C51">
        <f>+C50*(1-Probs_Mujeres!C50)</f>
        <v>94811.162634894892</v>
      </c>
      <c r="D51">
        <f>+D50*(1-Probs_Mujeres!D50)</f>
        <v>94822.509096124442</v>
      </c>
      <c r="E51">
        <f>+E50*(1-Probs_Mujeres!E50)</f>
        <v>94830.154697169273</v>
      </c>
      <c r="F51">
        <f>+F50*(1-Probs_Mujeres!F50)</f>
        <v>94835.311029940931</v>
      </c>
      <c r="G51">
        <f>+G50*(1-Probs_Mujeres!G50)</f>
        <v>94838.790597998959</v>
      </c>
      <c r="H51">
        <f>+H50*(1-Probs_Mujeres!H50)</f>
        <v>94841.139592041611</v>
      </c>
      <c r="I51">
        <f>+I50*(1-Probs_Mujeres!I50)</f>
        <v>94842.725780374385</v>
      </c>
      <c r="J51">
        <f>+J50*(1-Probs_Mujeres!J50)</f>
        <v>94843.797068025422</v>
      </c>
      <c r="K51">
        <f>+K50*(1-Probs_Mujeres!K50)</f>
        <v>94844.520687882658</v>
      </c>
      <c r="L51">
        <f>+L50*(1-Probs_Mujeres!L50)</f>
        <v>94845.009509805473</v>
      </c>
      <c r="M51">
        <f>+M50*(1-Probs_Mujeres!M50)</f>
        <v>94845.339738701776</v>
      </c>
      <c r="N51">
        <f>+N50*(1-Probs_Mujeres!N50)</f>
        <v>94845.562836774945</v>
      </c>
      <c r="O51">
        <f>+O50*(1-Probs_Mujeres!O50)</f>
        <v>94845.713562579447</v>
      </c>
      <c r="P51">
        <f>+P50*(1-Probs_Mujeres!P50)</f>
        <v>94845.815395186961</v>
      </c>
      <c r="Q51">
        <f>+Q50*(1-Probs_Mujeres!Q50)</f>
        <v>94845.884195617982</v>
      </c>
      <c r="R51">
        <f>+R50*(1-Probs_Mujeres!R50)</f>
        <v>94845.930679122132</v>
      </c>
      <c r="S51">
        <f>+S50*(1-Probs_Mujeres!S50)</f>
        <v>94845.962084849962</v>
      </c>
      <c r="T51">
        <f>+T50*(1-Probs_Mujeres!T50)</f>
        <v>94845.983303630375</v>
      </c>
      <c r="U51">
        <f>+U50*(1-Probs_Mujeres!U50)</f>
        <v>94845.997639796624</v>
      </c>
      <c r="V51">
        <f>+V50*(1-Probs_Mujeres!V50)</f>
        <v>94846.007325838582</v>
      </c>
      <c r="W51">
        <f>+W50*(1-Probs_Mujeres!W50)</f>
        <v>94846.013870092516</v>
      </c>
      <c r="X51">
        <f>+X50*(1-Probs_Mujeres!X50)</f>
        <v>94846.018291639659</v>
      </c>
      <c r="Y51">
        <f>+Y50*(1-Probs_Mujeres!Y50)</f>
        <v>94846.021279006833</v>
      </c>
      <c r="Z51">
        <f>+Z50*(1-Probs_Mujeres!Z50)</f>
        <v>94846.023297387554</v>
      </c>
      <c r="AA51">
        <f>+AA50*(1-Probs_Mujeres!AA50)</f>
        <v>94846.024661083895</v>
      </c>
      <c r="AB51">
        <f>+AB50*(1-Probs_Mujeres!AB50)</f>
        <v>94846.025582450253</v>
      </c>
      <c r="AC51">
        <f>+AC50*(1-Probs_Mujeres!AC50)</f>
        <v>94846.026204961148</v>
      </c>
      <c r="AD51">
        <f>+AD50*(1-Probs_Mujeres!AD50)</f>
        <v>94846.026625553946</v>
      </c>
      <c r="AE51">
        <f>+AE50*(1-Probs_Mujeres!AE50)</f>
        <v>94846.026909722845</v>
      </c>
      <c r="AF51">
        <f>+AF50*(1-Probs_Mujeres!AF50)</f>
        <v>94846.027101718486</v>
      </c>
      <c r="AG51">
        <f>+AG50*(1-Probs_Mujeres!AG50)</f>
        <v>94846.027231438158</v>
      </c>
      <c r="AH51">
        <f>+AH50*(1-Probs_Mujeres!AH50)</f>
        <v>94846.027319081913</v>
      </c>
    </row>
    <row r="52" spans="1:34" x14ac:dyDescent="0.25">
      <c r="A52">
        <f>+Probs_Hombres!A52</f>
        <v>50</v>
      </c>
      <c r="B52">
        <f>+B51*(1-Probs_Mujeres!B51)</f>
        <v>94536.846134474123</v>
      </c>
      <c r="C52">
        <f>+C51*(1-Probs_Mujeres!C51)</f>
        <v>94554.410513063922</v>
      </c>
      <c r="D52">
        <f>+D51*(1-Probs_Mujeres!D51)</f>
        <v>94566.231590850337</v>
      </c>
      <c r="E52">
        <f>+E51*(1-Probs_Mujeres!E51)</f>
        <v>94574.197422880447</v>
      </c>
      <c r="F52">
        <f>+F51*(1-Probs_Mujeres!F51)</f>
        <v>94579.569916159599</v>
      </c>
      <c r="G52">
        <f>+G51*(1-Probs_Mujeres!G51)</f>
        <v>94583.195439415766</v>
      </c>
      <c r="H52">
        <f>+H51*(1-Probs_Mujeres!H51)</f>
        <v>94585.643004835001</v>
      </c>
      <c r="I52">
        <f>+I51*(1-Probs_Mujeres!I51)</f>
        <v>94587.295772829937</v>
      </c>
      <c r="J52">
        <f>+J51*(1-Probs_Mujeres!J51)</f>
        <v>94588.41203562601</v>
      </c>
      <c r="K52">
        <f>+K51*(1-Probs_Mujeres!K51)</f>
        <v>94589.166038489144</v>
      </c>
      <c r="L52">
        <f>+L51*(1-Probs_Mujeres!L51)</f>
        <v>94589.675386551171</v>
      </c>
      <c r="M52">
        <f>+M51*(1-Probs_Mujeres!M51)</f>
        <v>94590.019482884818</v>
      </c>
      <c r="N52">
        <f>+N51*(1-Probs_Mujeres!N51)</f>
        <v>94590.251949964484</v>
      </c>
      <c r="O52">
        <f>+O51*(1-Probs_Mujeres!O51)</f>
        <v>94590.409005664391</v>
      </c>
      <c r="P52">
        <f>+P51*(1-Probs_Mujeres!P51)</f>
        <v>94590.515114918424</v>
      </c>
      <c r="Q52">
        <f>+Q51*(1-Probs_Mujeres!Q51)</f>
        <v>94590.586804783336</v>
      </c>
      <c r="R52">
        <f>+R51*(1-Probs_Mujeres!R51)</f>
        <v>94590.635240485732</v>
      </c>
      <c r="S52">
        <f>+S51*(1-Probs_Mujeres!S51)</f>
        <v>94590.667965187618</v>
      </c>
      <c r="T52">
        <f>+T51*(1-Probs_Mujeres!T51)</f>
        <v>94590.690075115126</v>
      </c>
      <c r="U52">
        <f>+U51*(1-Probs_Mujeres!U51)</f>
        <v>94590.705013373663</v>
      </c>
      <c r="V52">
        <f>+V51*(1-Probs_Mujeres!V51)</f>
        <v>94590.715106212025</v>
      </c>
      <c r="W52">
        <f>+W51*(1-Probs_Mujeres!W51)</f>
        <v>94590.721925313192</v>
      </c>
      <c r="X52">
        <f>+X51*(1-Probs_Mujeres!X51)</f>
        <v>94590.726532557746</v>
      </c>
      <c r="Y52">
        <f>+Y51*(1-Probs_Mujeres!Y51)</f>
        <v>94590.729645389278</v>
      </c>
      <c r="Z52">
        <f>+Z51*(1-Probs_Mujeres!Z51)</f>
        <v>94590.731748538601</v>
      </c>
      <c r="AA52">
        <f>+AA51*(1-Probs_Mujeres!AA51)</f>
        <v>94590.733169507919</v>
      </c>
      <c r="AB52">
        <f>+AB51*(1-Probs_Mujeres!AB51)</f>
        <v>94590.734129570134</v>
      </c>
      <c r="AC52">
        <f>+AC51*(1-Probs_Mujeres!AC51)</f>
        <v>94590.734778225451</v>
      </c>
      <c r="AD52">
        <f>+AD51*(1-Probs_Mujeres!AD51)</f>
        <v>94590.735216482455</v>
      </c>
      <c r="AE52">
        <f>+AE51*(1-Probs_Mujeres!AE51)</f>
        <v>94590.735512585976</v>
      </c>
      <c r="AF52">
        <f>+AF51*(1-Probs_Mujeres!AF51)</f>
        <v>94590.73571264511</v>
      </c>
      <c r="AG52">
        <f>+AG51*(1-Probs_Mujeres!AG51)</f>
        <v>94590.735847812801</v>
      </c>
      <c r="AH52">
        <f>+AH51*(1-Probs_Mujeres!AH51)</f>
        <v>94590.735939137463</v>
      </c>
    </row>
    <row r="53" spans="1:34" x14ac:dyDescent="0.25">
      <c r="A53">
        <f>+Probs_Hombres!A53</f>
        <v>51</v>
      </c>
      <c r="B53">
        <f>+B52*(1-Probs_Mujeres!B52)</f>
        <v>94261.398743011363</v>
      </c>
      <c r="C53">
        <f>+C52*(1-Probs_Mujeres!C52)</f>
        <v>94279.731582430235</v>
      </c>
      <c r="D53">
        <f>+D52*(1-Probs_Mujeres!D52)</f>
        <v>94292.070789495061</v>
      </c>
      <c r="E53">
        <f>+E52*(1-Probs_Mujeres!E52)</f>
        <v>94300.386200575827</v>
      </c>
      <c r="F53">
        <f>+F52*(1-Probs_Mujeres!F52)</f>
        <v>94305.994659880569</v>
      </c>
      <c r="G53">
        <f>+G52*(1-Probs_Mujeres!G52)</f>
        <v>94309.779509141474</v>
      </c>
      <c r="H53">
        <f>+H52*(1-Probs_Mujeres!H52)</f>
        <v>94312.334674951446</v>
      </c>
      <c r="I53">
        <f>+I52*(1-Probs_Mujeres!I52)</f>
        <v>94314.060120761395</v>
      </c>
      <c r="J53">
        <f>+J52*(1-Probs_Mujeres!J52)</f>
        <v>94315.225477848042</v>
      </c>
      <c r="K53">
        <f>+K52*(1-Probs_Mujeres!K52)</f>
        <v>94316.012646314179</v>
      </c>
      <c r="L53">
        <f>+L52*(1-Probs_Mujeres!L52)</f>
        <v>94316.544400337516</v>
      </c>
      <c r="M53">
        <f>+M52*(1-Probs_Mujeres!M52)</f>
        <v>94316.903634094284</v>
      </c>
      <c r="N53">
        <f>+N52*(1-Probs_Mujeres!N52)</f>
        <v>94317.146328188901</v>
      </c>
      <c r="O53">
        <f>+O52*(1-Probs_Mujeres!O52)</f>
        <v>94317.31029346837</v>
      </c>
      <c r="P53">
        <f>+P52*(1-Probs_Mujeres!P52)</f>
        <v>94317.421071017132</v>
      </c>
      <c r="Q53">
        <f>+Q52*(1-Probs_Mujeres!Q52)</f>
        <v>94317.495914924657</v>
      </c>
      <c r="R53">
        <f>+R52*(1-Probs_Mujeres!R52)</f>
        <v>94317.546481603407</v>
      </c>
      <c r="S53">
        <f>+S52*(1-Probs_Mujeres!S52)</f>
        <v>94317.580646067974</v>
      </c>
      <c r="T53">
        <f>+T52*(1-Probs_Mujeres!T52)</f>
        <v>94317.603728751681</v>
      </c>
      <c r="U53">
        <f>+U52*(1-Probs_Mujeres!U52)</f>
        <v>94317.619324240644</v>
      </c>
      <c r="V53">
        <f>+V52*(1-Probs_Mujeres!V52)</f>
        <v>94317.629861128808</v>
      </c>
      <c r="W53">
        <f>+W52*(1-Probs_Mujeres!W52)</f>
        <v>94317.636980247044</v>
      </c>
      <c r="X53">
        <f>+X52*(1-Probs_Mujeres!X52)</f>
        <v>94317.641790194699</v>
      </c>
      <c r="Y53">
        <f>+Y52*(1-Probs_Mujeres!Y52)</f>
        <v>94317.6450399803</v>
      </c>
      <c r="Z53">
        <f>+Z52*(1-Probs_Mujeres!Z52)</f>
        <v>94317.647235661119</v>
      </c>
      <c r="AA53">
        <f>+AA52*(1-Probs_Mujeres!AA52)</f>
        <v>94317.648719148317</v>
      </c>
      <c r="AB53">
        <f>+AB52*(1-Probs_Mujeres!AB52)</f>
        <v>94317.649721450056</v>
      </c>
      <c r="AC53">
        <f>+AC52*(1-Probs_Mujeres!AC52)</f>
        <v>94317.650398644037</v>
      </c>
      <c r="AD53">
        <f>+AD52*(1-Probs_Mujeres!AD52)</f>
        <v>94317.650856182881</v>
      </c>
      <c r="AE53">
        <f>+AE52*(1-Probs_Mujeres!AE52)</f>
        <v>94317.651165313975</v>
      </c>
      <c r="AF53">
        <f>+AF52*(1-Probs_Mujeres!AF52)</f>
        <v>94317.651374175039</v>
      </c>
      <c r="AG53">
        <f>+AG52*(1-Probs_Mujeres!AG52)</f>
        <v>94317.651515289661</v>
      </c>
      <c r="AH53">
        <f>+AH52*(1-Probs_Mujeres!AH52)</f>
        <v>94317.651610632311</v>
      </c>
    </row>
    <row r="54" spans="1:34" x14ac:dyDescent="0.25">
      <c r="A54">
        <f>+Probs_Hombres!A54</f>
        <v>52</v>
      </c>
      <c r="B54">
        <f>+B53*(1-Probs_Mujeres!B53)</f>
        <v>93968.329560465529</v>
      </c>
      <c r="C54">
        <f>+C53*(1-Probs_Mujeres!C53)</f>
        <v>93987.427904915196</v>
      </c>
      <c r="D54">
        <f>+D53*(1-Probs_Mujeres!D53)</f>
        <v>94000.283339218673</v>
      </c>
      <c r="E54">
        <f>+E53*(1-Probs_Mujeres!E53)</f>
        <v>94008.947087457986</v>
      </c>
      <c r="F54">
        <f>+F53*(1-Probs_Mujeres!F53)</f>
        <v>94014.790693384901</v>
      </c>
      <c r="G54">
        <f>+G53*(1-Probs_Mujeres!G53)</f>
        <v>94018.73432399123</v>
      </c>
      <c r="H54">
        <f>+H53*(1-Probs_Mujeres!H53)</f>
        <v>94021.396726284671</v>
      </c>
      <c r="I54">
        <f>+I53*(1-Probs_Mujeres!I53)</f>
        <v>94023.194605903263</v>
      </c>
      <c r="J54">
        <f>+J53*(1-Probs_Mujeres!J53)</f>
        <v>94024.408893270462</v>
      </c>
      <c r="K54">
        <f>+K53*(1-Probs_Mujeres!K53)</f>
        <v>94025.229116916016</v>
      </c>
      <c r="L54">
        <f>+L53*(1-Probs_Mujeres!L53)</f>
        <v>94025.783202471197</v>
      </c>
      <c r="M54">
        <f>+M53*(1-Probs_Mujeres!M53)</f>
        <v>94026.157523444446</v>
      </c>
      <c r="N54">
        <f>+N53*(1-Probs_Mujeres!N53)</f>
        <v>94026.410410669327</v>
      </c>
      <c r="O54">
        <f>+O53*(1-Probs_Mujeres!O53)</f>
        <v>94026.581262651394</v>
      </c>
      <c r="P54">
        <f>+P53*(1-Probs_Mujeres!P53)</f>
        <v>94026.696693045989</v>
      </c>
      <c r="Q54">
        <f>+Q53*(1-Probs_Mujeres!Q53)</f>
        <v>94026.774680561735</v>
      </c>
      <c r="R54">
        <f>+R53*(1-Probs_Mujeres!R53)</f>
        <v>94026.827371168576</v>
      </c>
      <c r="S54">
        <f>+S53*(1-Probs_Mujeres!S53)</f>
        <v>94026.86297063448</v>
      </c>
      <c r="T54">
        <f>+T53*(1-Probs_Mujeres!T53)</f>
        <v>94026.887022857773</v>
      </c>
      <c r="U54">
        <f>+U53*(1-Probs_Mujeres!U53)</f>
        <v>94026.903273404023</v>
      </c>
      <c r="V54">
        <f>+V53*(1-Probs_Mujeres!V53)</f>
        <v>94026.914252873801</v>
      </c>
      <c r="W54">
        <f>+W53*(1-Probs_Mujeres!W53)</f>
        <v>94026.921671017175</v>
      </c>
      <c r="X54">
        <f>+X53*(1-Probs_Mujeres!X53)</f>
        <v>94026.926682997757</v>
      </c>
      <c r="Y54">
        <f>+Y53*(1-Probs_Mujeres!Y53)</f>
        <v>94026.930069284645</v>
      </c>
      <c r="Z54">
        <f>+Z53*(1-Probs_Mujeres!Z53)</f>
        <v>94026.93235719105</v>
      </c>
      <c r="AA54">
        <f>+AA53*(1-Probs_Mujeres!AA53)</f>
        <v>94026.933902989433</v>
      </c>
      <c r="AB54">
        <f>+AB53*(1-Probs_Mujeres!AB53)</f>
        <v>94026.934947391055</v>
      </c>
      <c r="AC54">
        <f>+AC53*(1-Probs_Mujeres!AC53)</f>
        <v>94026.935653029344</v>
      </c>
      <c r="AD54">
        <f>+AD53*(1-Probs_Mujeres!AD53)</f>
        <v>94026.936129786292</v>
      </c>
      <c r="AE54">
        <f>+AE53*(1-Probs_Mujeres!AE53)</f>
        <v>94026.936451901885</v>
      </c>
      <c r="AF54">
        <f>+AF53*(1-Probs_Mujeres!AF53)</f>
        <v>94026.936669535775</v>
      </c>
      <c r="AG54">
        <f>+AG53*(1-Probs_Mujeres!AG53)</f>
        <v>94026.936816577683</v>
      </c>
      <c r="AH54">
        <f>+AH53*(1-Probs_Mujeres!AH53)</f>
        <v>94026.93691592502</v>
      </c>
    </row>
    <row r="55" spans="1:34" x14ac:dyDescent="0.25">
      <c r="A55">
        <f>+Probs_Hombres!A55</f>
        <v>53</v>
      </c>
      <c r="B55">
        <f>+B54*(1-Probs_Mujeres!B54)</f>
        <v>93652.920733394451</v>
      </c>
      <c r="C55">
        <f>+C54*(1-Probs_Mujeres!C54)</f>
        <v>93672.76011122606</v>
      </c>
      <c r="D55">
        <f>+D54*(1-Probs_Mujeres!D54)</f>
        <v>93686.11540114072</v>
      </c>
      <c r="E55">
        <f>+E54*(1-Probs_Mujeres!E54)</f>
        <v>93695.116499115291</v>
      </c>
      <c r="F55">
        <f>+F54*(1-Probs_Mujeres!F54)</f>
        <v>93701.187861788669</v>
      </c>
      <c r="G55">
        <f>+G54*(1-Probs_Mujeres!G54)</f>
        <v>93705.285296193222</v>
      </c>
      <c r="H55">
        <f>+H54*(1-Probs_Mujeres!H54)</f>
        <v>93708.051578941071</v>
      </c>
      <c r="I55">
        <f>+I54*(1-Probs_Mujeres!I54)</f>
        <v>93709.919628095508</v>
      </c>
      <c r="J55">
        <f>+J54*(1-Probs_Mujeres!J54)</f>
        <v>93711.181317368304</v>
      </c>
      <c r="K55">
        <f>+K54*(1-Probs_Mujeres!K54)</f>
        <v>93712.033564227953</v>
      </c>
      <c r="L55">
        <f>+L54*(1-Probs_Mujeres!L54)</f>
        <v>93712.609284382139</v>
      </c>
      <c r="M55">
        <f>+M54*(1-Probs_Mujeres!M54)</f>
        <v>93712.998221835223</v>
      </c>
      <c r="N55">
        <f>+N54*(1-Probs_Mujeres!N54)</f>
        <v>93713.260984205466</v>
      </c>
      <c r="O55">
        <f>+O54*(1-Probs_Mujeres!O54)</f>
        <v>93713.438508075924</v>
      </c>
      <c r="P55">
        <f>+P54*(1-Probs_Mujeres!P54)</f>
        <v>93713.558446192634</v>
      </c>
      <c r="Q55">
        <f>+Q54*(1-Probs_Mujeres!Q54)</f>
        <v>93713.639479271369</v>
      </c>
      <c r="R55">
        <f>+R54*(1-Probs_Mujeres!R54)</f>
        <v>93713.694227565822</v>
      </c>
      <c r="S55">
        <f>+S54*(1-Probs_Mujeres!S54)</f>
        <v>93713.731217279666</v>
      </c>
      <c r="T55">
        <f>+T54*(1-Probs_Mujeres!T54)</f>
        <v>93713.756208805964</v>
      </c>
      <c r="U55">
        <f>+U54*(1-Probs_Mujeres!U54)</f>
        <v>93713.773093980752</v>
      </c>
      <c r="V55">
        <f>+V54*(1-Probs_Mujeres!V54)</f>
        <v>93713.784502229813</v>
      </c>
      <c r="W55">
        <f>+W54*(1-Probs_Mujeres!W54)</f>
        <v>93713.792210072963</v>
      </c>
      <c r="X55">
        <f>+X54*(1-Probs_Mujeres!X54)</f>
        <v>93713.797417785929</v>
      </c>
      <c r="Y55">
        <f>+Y54*(1-Probs_Mujeres!Y54)</f>
        <v>93713.800936317217</v>
      </c>
      <c r="Z55">
        <f>+Z54*(1-Probs_Mujeres!Z54)</f>
        <v>93713.803313573095</v>
      </c>
      <c r="AA55">
        <f>+AA54*(1-Probs_Mujeres!AA54)</f>
        <v>93713.804919739458</v>
      </c>
      <c r="AB55">
        <f>+AB54*(1-Probs_Mujeres!AB54)</f>
        <v>93713.806004928047</v>
      </c>
      <c r="AC55">
        <f>+AC54*(1-Probs_Mujeres!AC54)</f>
        <v>93713.806738123603</v>
      </c>
      <c r="AD55">
        <f>+AD54*(1-Probs_Mujeres!AD54)</f>
        <v>93713.807233499319</v>
      </c>
      <c r="AE55">
        <f>+AE54*(1-Probs_Mujeres!AE54)</f>
        <v>93713.807568194476</v>
      </c>
      <c r="AF55">
        <f>+AF54*(1-Probs_Mujeres!AF54)</f>
        <v>93713.807794327615</v>
      </c>
      <c r="AG55">
        <f>+AG54*(1-Probs_Mujeres!AG54)</f>
        <v>93713.807947111956</v>
      </c>
      <c r="AH55">
        <f>+AH54*(1-Probs_Mujeres!AH54)</f>
        <v>93713.808050339096</v>
      </c>
    </row>
    <row r="56" spans="1:34" x14ac:dyDescent="0.25">
      <c r="A56">
        <f>+Probs_Hombres!A56</f>
        <v>54</v>
      </c>
      <c r="B56">
        <f>+B55*(1-Probs_Mujeres!B55)</f>
        <v>93308.275700194747</v>
      </c>
      <c r="C56">
        <f>+C55*(1-Probs_Mujeres!C55)</f>
        <v>93328.832750890826</v>
      </c>
      <c r="D56">
        <f>+D55*(1-Probs_Mujeres!D55)</f>
        <v>93342.672272659722</v>
      </c>
      <c r="E56">
        <f>+E55*(1-Probs_Mujeres!E55)</f>
        <v>93352.000236956155</v>
      </c>
      <c r="F56">
        <f>+F55*(1-Probs_Mujeres!F55)</f>
        <v>93358.292306451112</v>
      </c>
      <c r="G56">
        <f>+G55*(1-Probs_Mujeres!G55)</f>
        <v>93362.538796529014</v>
      </c>
      <c r="H56">
        <f>+H55*(1-Probs_Mujeres!H55)</f>
        <v>93365.405758590045</v>
      </c>
      <c r="I56">
        <f>+I55*(1-Probs_Mujeres!I55)</f>
        <v>93367.341817601759</v>
      </c>
      <c r="J56">
        <f>+J55*(1-Probs_Mujeres!J55)</f>
        <v>93368.649451048521</v>
      </c>
      <c r="K56">
        <f>+K55*(1-Probs_Mujeres!K55)</f>
        <v>93369.532736875131</v>
      </c>
      <c r="L56">
        <f>+L55*(1-Probs_Mujeres!L55)</f>
        <v>93370.129426930638</v>
      </c>
      <c r="M56">
        <f>+M55*(1-Probs_Mujeres!M55)</f>
        <v>93370.532531903911</v>
      </c>
      <c r="N56">
        <f>+N55*(1-Probs_Mujeres!N55)</f>
        <v>93370.804866146937</v>
      </c>
      <c r="O56">
        <f>+O55*(1-Probs_Mujeres!O55)</f>
        <v>93370.988857031305</v>
      </c>
      <c r="P56">
        <f>+P55*(1-Probs_Mujeres!P55)</f>
        <v>93371.113164461873</v>
      </c>
      <c r="Q56">
        <f>+Q55*(1-Probs_Mujeres!Q55)</f>
        <v>93371.197149595464</v>
      </c>
      <c r="R56">
        <f>+R55*(1-Probs_Mujeres!R55)</f>
        <v>93371.253892402485</v>
      </c>
      <c r="S56">
        <f>+S55*(1-Probs_Mujeres!S55)</f>
        <v>93371.29222968196</v>
      </c>
      <c r="T56">
        <f>+T55*(1-Probs_Mujeres!T55)</f>
        <v>93371.318131673979</v>
      </c>
      <c r="U56">
        <f>+U55*(1-Probs_Mujeres!U55)</f>
        <v>93371.335631993992</v>
      </c>
      <c r="V56">
        <f>+V55*(1-Probs_Mujeres!V55)</f>
        <v>93371.347455858733</v>
      </c>
      <c r="W56">
        <f>+W55*(1-Probs_Mujeres!W55)</f>
        <v>93371.355444507892</v>
      </c>
      <c r="X56">
        <f>+X55*(1-Probs_Mujeres!X55)</f>
        <v>93371.360841944275</v>
      </c>
      <c r="Y56">
        <f>+Y55*(1-Probs_Mujeres!Y55)</f>
        <v>93371.364488660096</v>
      </c>
      <c r="Z56">
        <f>+Z55*(1-Probs_Mujeres!Z55)</f>
        <v>93371.366952522425</v>
      </c>
      <c r="AA56">
        <f>+AA55*(1-Probs_Mujeres!AA55)</f>
        <v>93371.368617203494</v>
      </c>
      <c r="AB56">
        <f>+AB55*(1-Probs_Mujeres!AB55)</f>
        <v>93371.369741926886</v>
      </c>
      <c r="AC56">
        <f>+AC55*(1-Probs_Mujeres!AC55)</f>
        <v>93371.37050183372</v>
      </c>
      <c r="AD56">
        <f>+AD55*(1-Probs_Mujeres!AD55)</f>
        <v>93371.37101525662</v>
      </c>
      <c r="AE56">
        <f>+AE55*(1-Probs_Mujeres!AE55)</f>
        <v>93371.371362145146</v>
      </c>
      <c r="AF56">
        <f>+AF55*(1-Probs_Mujeres!AF55)</f>
        <v>93371.371596516619</v>
      </c>
      <c r="AG56">
        <f>+AG55*(1-Probs_Mujeres!AG55)</f>
        <v>93371.371754867097</v>
      </c>
      <c r="AH56">
        <f>+AH55*(1-Probs_Mujeres!AH55)</f>
        <v>93371.371861854932</v>
      </c>
    </row>
    <row r="57" spans="1:34" x14ac:dyDescent="0.25">
      <c r="A57">
        <f>+Probs_Hombres!A57</f>
        <v>55</v>
      </c>
      <c r="B57">
        <f>+B56*(1-Probs_Mujeres!B56)</f>
        <v>92934.838107672185</v>
      </c>
      <c r="C57">
        <f>+C56*(1-Probs_Mujeres!C56)</f>
        <v>92956.18191098125</v>
      </c>
      <c r="D57">
        <f>+D56*(1-Probs_Mujeres!D56)</f>
        <v>92970.552265475213</v>
      </c>
      <c r="E57">
        <f>+E56*(1-Probs_Mujeres!E56)</f>
        <v>92980.238548535825</v>
      </c>
      <c r="F57">
        <f>+F56*(1-Probs_Mujeres!F56)</f>
        <v>92986.772560317637</v>
      </c>
      <c r="G57">
        <f>+G56*(1-Probs_Mujeres!G56)</f>
        <v>92991.182446715582</v>
      </c>
      <c r="H57">
        <f>+H56*(1-Probs_Mujeres!H56)</f>
        <v>92994.159774057945</v>
      </c>
      <c r="I57">
        <f>+I56*(1-Probs_Mujeres!I56)</f>
        <v>92996.170385715333</v>
      </c>
      <c r="J57">
        <f>+J56*(1-Probs_Mujeres!J56)</f>
        <v>92997.528383246827</v>
      </c>
      <c r="K57">
        <f>+K56*(1-Probs_Mujeres!K56)</f>
        <v>92998.445694006892</v>
      </c>
      <c r="L57">
        <f>+L56*(1-Probs_Mujeres!L56)</f>
        <v>92999.065371263452</v>
      </c>
      <c r="M57">
        <f>+M56*(1-Probs_Mujeres!M56)</f>
        <v>92999.484006661398</v>
      </c>
      <c r="N57">
        <f>+N56*(1-Probs_Mujeres!N56)</f>
        <v>92999.766833580448</v>
      </c>
      <c r="O57">
        <f>+O56*(1-Probs_Mujeres!O56)</f>
        <v>92999.957913596503</v>
      </c>
      <c r="P57">
        <f>+P56*(1-Probs_Mujeres!P56)</f>
        <v>93000.087010662115</v>
      </c>
      <c r="Q57">
        <f>+Q56*(1-Probs_Mujeres!Q56)</f>
        <v>93000.174231833313</v>
      </c>
      <c r="R57">
        <f>+R56*(1-Probs_Mujeres!R56)</f>
        <v>93000.233161021533</v>
      </c>
      <c r="S57">
        <f>+S56*(1-Probs_Mujeres!S56)</f>
        <v>93000.272975500018</v>
      </c>
      <c r="T57">
        <f>+T56*(1-Probs_Mujeres!T56)</f>
        <v>93000.299875542914</v>
      </c>
      <c r="U57">
        <f>+U56*(1-Probs_Mujeres!U56)</f>
        <v>93000.318050183952</v>
      </c>
      <c r="V57">
        <f>+V56*(1-Probs_Mujeres!V56)</f>
        <v>93000.330329645847</v>
      </c>
      <c r="W57">
        <f>+W56*(1-Probs_Mujeres!W56)</f>
        <v>93000.338626114011</v>
      </c>
      <c r="X57">
        <f>+X56*(1-Probs_Mujeres!X56)</f>
        <v>93000.344231524854</v>
      </c>
      <c r="Y57">
        <f>+Y56*(1-Probs_Mujeres!Y56)</f>
        <v>93000.348018756296</v>
      </c>
      <c r="Z57">
        <f>+Z56*(1-Probs_Mujeres!Z56)</f>
        <v>93000.35057755647</v>
      </c>
      <c r="AA57">
        <f>+AA56*(1-Probs_Mujeres!AA56)</f>
        <v>93000.352306381246</v>
      </c>
      <c r="AB57">
        <f>+AB56*(1-Probs_Mujeres!AB56)</f>
        <v>93000.353474442629</v>
      </c>
      <c r="AC57">
        <f>+AC56*(1-Probs_Mujeres!AC56)</f>
        <v>93000.354263630303</v>
      </c>
      <c r="AD57">
        <f>+AD56*(1-Probs_Mujeres!AD56)</f>
        <v>93000.354796836487</v>
      </c>
      <c r="AE57">
        <f>+AE56*(1-Probs_Mujeres!AE56)</f>
        <v>93000.35515709137</v>
      </c>
      <c r="AF57">
        <f>+AF56*(1-Probs_Mujeres!AF56)</f>
        <v>93000.355400493674</v>
      </c>
      <c r="AG57">
        <f>+AG56*(1-Probs_Mujeres!AG56)</f>
        <v>93000.355564945741</v>
      </c>
      <c r="AH57">
        <f>+AH56*(1-Probs_Mujeres!AH56)</f>
        <v>93000.355676056046</v>
      </c>
    </row>
    <row r="58" spans="1:34" x14ac:dyDescent="0.25">
      <c r="A58">
        <f>+Probs_Hombres!A58</f>
        <v>56</v>
      </c>
      <c r="B58">
        <f>+B57*(1-Probs_Mujeres!B57)</f>
        <v>92536.644706345614</v>
      </c>
      <c r="C58">
        <f>+C57*(1-Probs_Mujeres!C57)</f>
        <v>92558.891441265747</v>
      </c>
      <c r="D58">
        <f>+D57*(1-Probs_Mujeres!D57)</f>
        <v>92573.870922106231</v>
      </c>
      <c r="E58">
        <f>+E57*(1-Probs_Mujeres!E57)</f>
        <v>92583.968330306627</v>
      </c>
      <c r="F58">
        <f>+F57*(1-Probs_Mujeres!F57)</f>
        <v>92590.779920528672</v>
      </c>
      <c r="G58">
        <f>+G57*(1-Probs_Mujeres!G57)</f>
        <v>92595.377261309244</v>
      </c>
      <c r="H58">
        <f>+H57*(1-Probs_Mujeres!H57)</f>
        <v>92598.481199777787</v>
      </c>
      <c r="I58">
        <f>+I57*(1-Probs_Mujeres!I57)</f>
        <v>92600.577336428061</v>
      </c>
      <c r="J58">
        <f>+J57*(1-Probs_Mujeres!J57)</f>
        <v>92601.99310957428</v>
      </c>
      <c r="K58">
        <f>+K57*(1-Probs_Mujeres!K57)</f>
        <v>92602.949451958106</v>
      </c>
      <c r="L58">
        <f>+L57*(1-Probs_Mujeres!L57)</f>
        <v>92603.595498753028</v>
      </c>
      <c r="M58">
        <f>+M57*(1-Probs_Mujeres!M57)</f>
        <v>92604.031949642274</v>
      </c>
      <c r="N58">
        <f>+N57*(1-Probs_Mujeres!N57)</f>
        <v>92604.326813038904</v>
      </c>
      <c r="O58">
        <f>+O57*(1-Probs_Mujeres!O57)</f>
        <v>92604.526025203377</v>
      </c>
      <c r="P58">
        <f>+P57*(1-Probs_Mujeres!P57)</f>
        <v>92604.660616590525</v>
      </c>
      <c r="Q58">
        <f>+Q57*(1-Probs_Mujeres!Q57)</f>
        <v>92604.751549905588</v>
      </c>
      <c r="R58">
        <f>+R57*(1-Probs_Mujeres!R57)</f>
        <v>92604.812987147598</v>
      </c>
      <c r="S58">
        <f>+S57*(1-Probs_Mujeres!S57)</f>
        <v>92604.854496158136</v>
      </c>
      <c r="T58">
        <f>+T57*(1-Probs_Mujeres!T57)</f>
        <v>92604.882541089886</v>
      </c>
      <c r="U58">
        <f>+U57*(1-Probs_Mujeres!U57)</f>
        <v>92604.901489261116</v>
      </c>
      <c r="V58">
        <f>+V57*(1-Probs_Mujeres!V57)</f>
        <v>92604.914291349603</v>
      </c>
      <c r="W58">
        <f>+W57*(1-Probs_Mujeres!W57)</f>
        <v>92604.922940924429</v>
      </c>
      <c r="X58">
        <f>+X57*(1-Probs_Mujeres!X57)</f>
        <v>92604.928784907795</v>
      </c>
      <c r="Y58">
        <f>+Y57*(1-Probs_Mujeres!Y57)</f>
        <v>92604.932733328111</v>
      </c>
      <c r="Z58">
        <f>+Z57*(1-Probs_Mujeres!Z57)</f>
        <v>92604.93540103377</v>
      </c>
      <c r="AA58">
        <f>+AA57*(1-Probs_Mujeres!AA57)</f>
        <v>92604.937203439345</v>
      </c>
      <c r="AB58">
        <f>+AB57*(1-Probs_Mujeres!AB57)</f>
        <v>92604.938421214771</v>
      </c>
      <c r="AC58">
        <f>+AC57*(1-Probs_Mujeres!AC57)</f>
        <v>92604.939243991204</v>
      </c>
      <c r="AD58">
        <f>+AD57*(1-Probs_Mujeres!AD57)</f>
        <v>92604.939799891275</v>
      </c>
      <c r="AE58">
        <f>+AE57*(1-Probs_Mujeres!AE57)</f>
        <v>92604.940175479016</v>
      </c>
      <c r="AF58">
        <f>+AF57*(1-Probs_Mujeres!AF57)</f>
        <v>92604.940429240829</v>
      </c>
      <c r="AG58">
        <f>+AG57*(1-Probs_Mujeres!AG57)</f>
        <v>92604.940600692164</v>
      </c>
      <c r="AH58">
        <f>+AH57*(1-Probs_Mujeres!AH57)</f>
        <v>92604.940716531448</v>
      </c>
    </row>
    <row r="59" spans="1:34" x14ac:dyDescent="0.25">
      <c r="A59">
        <f>+Probs_Hombres!A59</f>
        <v>57</v>
      </c>
      <c r="B59">
        <f>+B58*(1-Probs_Mujeres!B58)</f>
        <v>92110.146007463933</v>
      </c>
      <c r="C59">
        <f>+C58*(1-Probs_Mujeres!C58)</f>
        <v>92133.324970923451</v>
      </c>
      <c r="D59">
        <f>+D58*(1-Probs_Mujeres!D58)</f>
        <v>92148.933400712442</v>
      </c>
      <c r="E59">
        <f>+E58*(1-Probs_Mujeres!E58)</f>
        <v>92159.45533986263</v>
      </c>
      <c r="F59">
        <f>+F58*(1-Probs_Mujeres!F58)</f>
        <v>92166.553571864657</v>
      </c>
      <c r="G59">
        <f>+G58*(1-Probs_Mujeres!G58)</f>
        <v>92171.344493235563</v>
      </c>
      <c r="H59">
        <f>+H58*(1-Probs_Mujeres!H58)</f>
        <v>92174.579183147493</v>
      </c>
      <c r="I59">
        <f>+I58*(1-Probs_Mujeres!I58)</f>
        <v>92176.763642703139</v>
      </c>
      <c r="J59">
        <f>+J58*(1-Probs_Mujeres!J58)</f>
        <v>92178.23908209501</v>
      </c>
      <c r="K59">
        <f>+K58*(1-Probs_Mujeres!K58)</f>
        <v>92179.235733601672</v>
      </c>
      <c r="L59">
        <f>+L58*(1-Probs_Mujeres!L58)</f>
        <v>92179.909013115714</v>
      </c>
      <c r="M59">
        <f>+M58*(1-Probs_Mujeres!M58)</f>
        <v>92180.363862718892</v>
      </c>
      <c r="N59">
        <f>+N58*(1-Probs_Mujeres!N58)</f>
        <v>92180.671156652024</v>
      </c>
      <c r="O59">
        <f>+O58*(1-Probs_Mujeres!O58)</f>
        <v>92180.878767211529</v>
      </c>
      <c r="P59">
        <f>+P58*(1-Probs_Mujeres!P58)</f>
        <v>92181.019032809127</v>
      </c>
      <c r="Q59">
        <f>+Q58*(1-Probs_Mujeres!Q58)</f>
        <v>92181.113799809071</v>
      </c>
      <c r="R59">
        <f>+R58*(1-Probs_Mujeres!R58)</f>
        <v>92181.177827223204</v>
      </c>
      <c r="S59">
        <f>+S58*(1-Probs_Mujeres!S58)</f>
        <v>92181.221086248377</v>
      </c>
      <c r="T59">
        <f>+T58*(1-Probs_Mujeres!T58)</f>
        <v>92181.250313555283</v>
      </c>
      <c r="U59">
        <f>+U58*(1-Probs_Mujeres!U58)</f>
        <v>92181.270060583978</v>
      </c>
      <c r="V59">
        <f>+V58*(1-Probs_Mujeres!V58)</f>
        <v>92181.283402411165</v>
      </c>
      <c r="W59">
        <f>+W58*(1-Probs_Mujeres!W58)</f>
        <v>92181.292416654265</v>
      </c>
      <c r="X59">
        <f>+X58*(1-Probs_Mujeres!X58)</f>
        <v>92181.298507021653</v>
      </c>
      <c r="Y59">
        <f>+Y58*(1-Probs_Mujeres!Y58)</f>
        <v>92181.302621908588</v>
      </c>
      <c r="Z59">
        <f>+Z58*(1-Probs_Mujeres!Z58)</f>
        <v>92181.305402085578</v>
      </c>
      <c r="AA59">
        <f>+AA58*(1-Probs_Mujeres!AA58)</f>
        <v>92181.307280481182</v>
      </c>
      <c r="AB59">
        <f>+AB58*(1-Probs_Mujeres!AB58)</f>
        <v>92181.308549598427</v>
      </c>
      <c r="AC59">
        <f>+AC58*(1-Probs_Mujeres!AC58)</f>
        <v>92181.309407063411</v>
      </c>
      <c r="AD59">
        <f>+AD58*(1-Probs_Mujeres!AD58)</f>
        <v>92181.309986400403</v>
      </c>
      <c r="AE59">
        <f>+AE58*(1-Probs_Mujeres!AE58)</f>
        <v>92181.310377823058</v>
      </c>
      <c r="AF59">
        <f>+AF58*(1-Probs_Mujeres!AF58)</f>
        <v>92181.31064228357</v>
      </c>
      <c r="AG59">
        <f>+AG58*(1-Probs_Mujeres!AG58)</f>
        <v>92181.31082096335</v>
      </c>
      <c r="AH59">
        <f>+AH58*(1-Probs_Mujeres!AH58)</f>
        <v>92181.310941686461</v>
      </c>
    </row>
    <row r="60" spans="1:34" x14ac:dyDescent="0.25">
      <c r="A60">
        <f>+Probs_Hombres!A60</f>
        <v>58</v>
      </c>
      <c r="B60">
        <f>+B59*(1-Probs_Mujeres!B59)</f>
        <v>91651.015722573589</v>
      </c>
      <c r="C60">
        <f>+C59*(1-Probs_Mujeres!C59)</f>
        <v>91675.005095693938</v>
      </c>
      <c r="D60">
        <f>+D59*(1-Probs_Mujeres!D59)</f>
        <v>91691.160538358323</v>
      </c>
      <c r="E60">
        <f>+E59*(1-Probs_Mujeres!E59)</f>
        <v>91702.051817588072</v>
      </c>
      <c r="F60">
        <f>+F59*(1-Probs_Mujeres!F59)</f>
        <v>91709.399479002575</v>
      </c>
      <c r="G60">
        <f>+G59*(1-Probs_Mujeres!G59)</f>
        <v>91714.358873832753</v>
      </c>
      <c r="H60">
        <f>+H59*(1-Probs_Mujeres!H59)</f>
        <v>91717.707367795301</v>
      </c>
      <c r="I60">
        <f>+I59*(1-Probs_Mujeres!I59)</f>
        <v>91719.96870722044</v>
      </c>
      <c r="J60">
        <f>+J59*(1-Probs_Mujeres!J59)</f>
        <v>91721.49608482013</v>
      </c>
      <c r="K60">
        <f>+K59*(1-Probs_Mujeres!K59)</f>
        <v>91722.527825602374</v>
      </c>
      <c r="L60">
        <f>+L59*(1-Probs_Mujeres!L59)</f>
        <v>91723.224811795095</v>
      </c>
      <c r="M60">
        <f>+M59*(1-Probs_Mujeres!M59)</f>
        <v>91723.695678097458</v>
      </c>
      <c r="N60">
        <f>+N59*(1-Probs_Mujeres!N59)</f>
        <v>91724.013793329039</v>
      </c>
      <c r="O60">
        <f>+O59*(1-Probs_Mujeres!O59)</f>
        <v>91724.228715085221</v>
      </c>
      <c r="P60">
        <f>+P59*(1-Probs_Mujeres!P59)</f>
        <v>91724.373920369588</v>
      </c>
      <c r="Q60">
        <f>+Q59*(1-Probs_Mujeres!Q59)</f>
        <v>91724.472024795221</v>
      </c>
      <c r="R60">
        <f>+R59*(1-Probs_Mujeres!R59)</f>
        <v>91724.538307095616</v>
      </c>
      <c r="S60">
        <f>+S59*(1-Probs_Mujeres!S59)</f>
        <v>91724.583089606022</v>
      </c>
      <c r="T60">
        <f>+T59*(1-Probs_Mujeres!T59)</f>
        <v>91724.613346237253</v>
      </c>
      <c r="U60">
        <f>+U59*(1-Probs_Mujeres!U59)</f>
        <v>91724.633788716892</v>
      </c>
      <c r="V60">
        <f>+V59*(1-Probs_Mujeres!V59)</f>
        <v>91724.647600417535</v>
      </c>
      <c r="W60">
        <f>+W59*(1-Probs_Mujeres!W59)</f>
        <v>91724.656932125363</v>
      </c>
      <c r="X60">
        <f>+X59*(1-Probs_Mujeres!X59)</f>
        <v>91724.663236984255</v>
      </c>
      <c r="Y60">
        <f>+Y59*(1-Probs_Mujeres!Y59)</f>
        <v>91724.667496790018</v>
      </c>
      <c r="Z60">
        <f>+Z59*(1-Probs_Mujeres!Z59)</f>
        <v>91724.670374879817</v>
      </c>
      <c r="AA60">
        <f>+AA59*(1-Probs_Mujeres!AA59)</f>
        <v>91724.672319429126</v>
      </c>
      <c r="AB60">
        <f>+AB59*(1-Probs_Mujeres!AB59)</f>
        <v>91724.673633242404</v>
      </c>
      <c r="AC60">
        <f>+AC59*(1-Probs_Mujeres!AC59)</f>
        <v>91724.674520905784</v>
      </c>
      <c r="AD60">
        <f>+AD59*(1-Probs_Mujeres!AD59)</f>
        <v>91724.675120645988</v>
      </c>
      <c r="AE60">
        <f>+AE59*(1-Probs_Mujeres!AE59)</f>
        <v>91724.675525853861</v>
      </c>
      <c r="AF60">
        <f>+AF59*(1-Probs_Mujeres!AF59)</f>
        <v>91724.675799628196</v>
      </c>
      <c r="AG60">
        <f>+AG59*(1-Probs_Mujeres!AG59)</f>
        <v>91724.675984600763</v>
      </c>
      <c r="AH60">
        <f>+AH59*(1-Probs_Mujeres!AH59)</f>
        <v>91724.676109575521</v>
      </c>
    </row>
    <row r="61" spans="1:34" x14ac:dyDescent="0.25">
      <c r="A61">
        <f>+Probs_Hombres!A61</f>
        <v>59</v>
      </c>
      <c r="B61">
        <f>+B60*(1-Probs_Mujeres!B60)</f>
        <v>91155.49425521247</v>
      </c>
      <c r="C61">
        <f>+C60*(1-Probs_Mujeres!C60)</f>
        <v>91180.206293260824</v>
      </c>
      <c r="D61">
        <f>+D60*(1-Probs_Mujeres!D60)</f>
        <v>91196.849705547444</v>
      </c>
      <c r="E61">
        <f>+E60*(1-Probs_Mujeres!E60)</f>
        <v>91208.070542536385</v>
      </c>
      <c r="F61">
        <f>+F60*(1-Probs_Mujeres!F60)</f>
        <v>91215.640804850918</v>
      </c>
      <c r="G61">
        <f>+G60*(1-Probs_Mujeres!G60)</f>
        <v>91220.750569545286</v>
      </c>
      <c r="H61">
        <f>+H60*(1-Probs_Mujeres!H60)</f>
        <v>91224.200646462734</v>
      </c>
      <c r="I61">
        <f>+I60*(1-Probs_Mujeres!I60)</f>
        <v>91226.53061345336</v>
      </c>
      <c r="J61">
        <f>+J60*(1-Probs_Mujeres!J60)</f>
        <v>91228.104355847565</v>
      </c>
      <c r="K61">
        <f>+K60*(1-Probs_Mujeres!K60)</f>
        <v>91229.167421277962</v>
      </c>
      <c r="L61">
        <f>+L60*(1-Probs_Mujeres!L60)</f>
        <v>91229.885571071034</v>
      </c>
      <c r="M61">
        <f>+M60*(1-Probs_Mujeres!M60)</f>
        <v>91230.370736075318</v>
      </c>
      <c r="N61">
        <f>+N60*(1-Probs_Mujeres!N60)</f>
        <v>91230.698511953189</v>
      </c>
      <c r="O61">
        <f>+O60*(1-Probs_Mujeres!O60)</f>
        <v>91230.919960766987</v>
      </c>
      <c r="P61">
        <f>+P60*(1-Probs_Mujeres!P60)</f>
        <v>91231.069575962654</v>
      </c>
      <c r="Q61">
        <f>+Q60*(1-Probs_Mujeres!Q60)</f>
        <v>91231.170659885873</v>
      </c>
      <c r="R61">
        <f>+R60*(1-Probs_Mujeres!R60)</f>
        <v>91231.238955246386</v>
      </c>
      <c r="S61">
        <f>+S60*(1-Probs_Mujeres!S60)</f>
        <v>91231.285097856686</v>
      </c>
      <c r="T61">
        <f>+T60*(1-Probs_Mujeres!T60)</f>
        <v>91231.316273423567</v>
      </c>
      <c r="U61">
        <f>+U60*(1-Probs_Mujeres!U60)</f>
        <v>91231.337336771627</v>
      </c>
      <c r="V61">
        <f>+V60*(1-Probs_Mujeres!V60)</f>
        <v>91231.351567955033</v>
      </c>
      <c r="W61">
        <f>+W60*(1-Probs_Mujeres!W60)</f>
        <v>91231.361183081739</v>
      </c>
      <c r="X61">
        <f>+X60*(1-Probs_Mujeres!X60)</f>
        <v>91231.367679429473</v>
      </c>
      <c r="Y61">
        <f>+Y60*(1-Probs_Mujeres!Y60)</f>
        <v>91231.372068612574</v>
      </c>
      <c r="Z61">
        <f>+Z60*(1-Probs_Mujeres!Z60)</f>
        <v>91231.375034114753</v>
      </c>
      <c r="AA61">
        <f>+AA60*(1-Probs_Mujeres!AA60)</f>
        <v>91231.377037723272</v>
      </c>
      <c r="AB61">
        <f>+AB60*(1-Probs_Mujeres!AB60)</f>
        <v>91231.37839143927</v>
      </c>
      <c r="AC61">
        <f>+AC60*(1-Probs_Mujeres!AC60)</f>
        <v>91231.379306062488</v>
      </c>
      <c r="AD61">
        <f>+AD60*(1-Probs_Mujeres!AD60)</f>
        <v>91231.37992401782</v>
      </c>
      <c r="AE61">
        <f>+AE60*(1-Probs_Mujeres!AE60)</f>
        <v>91231.380341532538</v>
      </c>
      <c r="AF61">
        <f>+AF60*(1-Probs_Mujeres!AF60)</f>
        <v>91231.380623621866</v>
      </c>
      <c r="AG61">
        <f>+AG60*(1-Probs_Mujeres!AG60)</f>
        <v>91231.380814212345</v>
      </c>
      <c r="AH61">
        <f>+AH60*(1-Probs_Mujeres!AH60)</f>
        <v>91231.380942982811</v>
      </c>
    </row>
    <row r="62" spans="1:34" x14ac:dyDescent="0.25">
      <c r="A62">
        <f>+Probs_Hombres!A62</f>
        <v>60</v>
      </c>
      <c r="B62">
        <f>+B61*(1-Probs_Mujeres!B61)</f>
        <v>90627.987136023105</v>
      </c>
      <c r="C62">
        <f>+C61*(1-Probs_Mujeres!C61)</f>
        <v>90653.52489811687</v>
      </c>
      <c r="D62">
        <f>+D61*(1-Probs_Mujeres!D61)</f>
        <v>90670.725800699423</v>
      </c>
      <c r="E62">
        <f>+E61*(1-Probs_Mujeres!E61)</f>
        <v>90682.32311605502</v>
      </c>
      <c r="F62">
        <f>+F61*(1-Probs_Mujeres!F61)</f>
        <v>90690.147657709371</v>
      </c>
      <c r="G62">
        <f>+G61*(1-Probs_Mujeres!G61)</f>
        <v>90695.429184979177</v>
      </c>
      <c r="H62">
        <f>+H61*(1-Probs_Mujeres!H61)</f>
        <v>90698.995293818734</v>
      </c>
      <c r="I62">
        <f>+I61*(1-Probs_Mujeres!I61)</f>
        <v>90701.403648477761</v>
      </c>
      <c r="J62">
        <f>+J61*(1-Probs_Mujeres!J61)</f>
        <v>90703.030348976565</v>
      </c>
      <c r="K62">
        <f>+K61*(1-Probs_Mujeres!K61)</f>
        <v>90704.129193298097</v>
      </c>
      <c r="L62">
        <f>+L61*(1-Probs_Mujeres!L61)</f>
        <v>90704.871515944556</v>
      </c>
      <c r="M62">
        <f>+M61*(1-Probs_Mujeres!M61)</f>
        <v>90705.373012724973</v>
      </c>
      <c r="N62">
        <f>+N61*(1-Probs_Mujeres!N61)</f>
        <v>90705.711822830344</v>
      </c>
      <c r="O62">
        <f>+O61*(1-Probs_Mujeres!O61)</f>
        <v>90705.940726727174</v>
      </c>
      <c r="P62">
        <f>+P61*(1-Probs_Mujeres!P61)</f>
        <v>90706.095378835438</v>
      </c>
      <c r="Q62">
        <f>+Q61*(1-Probs_Mujeres!Q61)</f>
        <v>90706.19986587872</v>
      </c>
      <c r="R62">
        <f>+R61*(1-Probs_Mujeres!R61)</f>
        <v>90706.270460513391</v>
      </c>
      <c r="S62">
        <f>+S61*(1-Probs_Mujeres!S61)</f>
        <v>90706.318156600129</v>
      </c>
      <c r="T62">
        <f>+T61*(1-Probs_Mujeres!T61)</f>
        <v>90706.350381755037</v>
      </c>
      <c r="U62">
        <f>+U61*(1-Probs_Mujeres!U61)</f>
        <v>90706.372154245182</v>
      </c>
      <c r="V62">
        <f>+V61*(1-Probs_Mujeres!V61)</f>
        <v>90706.38686455242</v>
      </c>
      <c r="W62">
        <f>+W61*(1-Probs_Mujeres!W61)</f>
        <v>90706.396803393814</v>
      </c>
      <c r="X62">
        <f>+X61*(1-Probs_Mujeres!X61)</f>
        <v>90706.403518455802</v>
      </c>
      <c r="Y62">
        <f>+Y61*(1-Probs_Mujeres!Y61)</f>
        <v>90706.408055410764</v>
      </c>
      <c r="Z62">
        <f>+Z61*(1-Probs_Mujeres!Z61)</f>
        <v>90706.411120753401</v>
      </c>
      <c r="AA62">
        <f>+AA61*(1-Probs_Mujeres!AA61)</f>
        <v>90706.413191818021</v>
      </c>
      <c r="AB62">
        <f>+AB61*(1-Probs_Mujeres!AB61)</f>
        <v>90706.414591110006</v>
      </c>
      <c r="AC62">
        <f>+AC61*(1-Probs_Mujeres!AC61)</f>
        <v>90706.415536526139</v>
      </c>
      <c r="AD62">
        <f>+AD61*(1-Probs_Mujeres!AD61)</f>
        <v>90706.416175286358</v>
      </c>
      <c r="AE62">
        <f>+AE61*(1-Probs_Mujeres!AE61)</f>
        <v>90706.416606857674</v>
      </c>
      <c r="AF62">
        <f>+AF61*(1-Probs_Mujeres!AF61)</f>
        <v>90706.416898444193</v>
      </c>
      <c r="AG62">
        <f>+AG61*(1-Probs_Mujeres!AG61)</f>
        <v>90706.417095451354</v>
      </c>
      <c r="AH62">
        <f>+AH61*(1-Probs_Mujeres!AH61)</f>
        <v>90706.417228557184</v>
      </c>
    </row>
    <row r="63" spans="1:34" x14ac:dyDescent="0.25">
      <c r="A63">
        <f>+Probs_Hombres!A63</f>
        <v>61</v>
      </c>
      <c r="B63">
        <f>+B62*(1-Probs_Mujeres!B62)</f>
        <v>90074.568450740655</v>
      </c>
      <c r="C63">
        <f>+C62*(1-Probs_Mujeres!C62)</f>
        <v>90101.111650697116</v>
      </c>
      <c r="D63">
        <f>+D62*(1-Probs_Mujeres!D62)</f>
        <v>90118.991186231273</v>
      </c>
      <c r="E63">
        <f>+E62*(1-Probs_Mujeres!E62)</f>
        <v>90131.046701378073</v>
      </c>
      <c r="F63">
        <f>+F62*(1-Probs_Mujeres!F62)</f>
        <v>90139.180678481382</v>
      </c>
      <c r="G63">
        <f>+G62*(1-Probs_Mujeres!G62)</f>
        <v>90144.671207445834</v>
      </c>
      <c r="H63">
        <f>+H62*(1-Probs_Mujeres!H62)</f>
        <v>90148.378496316203</v>
      </c>
      <c r="I63">
        <f>+I62*(1-Probs_Mujeres!I62)</f>
        <v>90150.882224168367</v>
      </c>
      <c r="J63">
        <f>+J62*(1-Probs_Mujeres!J62)</f>
        <v>90152.573356336652</v>
      </c>
      <c r="K63">
        <f>+K62*(1-Probs_Mujeres!K62)</f>
        <v>90153.715730388314</v>
      </c>
      <c r="L63">
        <f>+L62*(1-Probs_Mujeres!L62)</f>
        <v>90154.487462133155</v>
      </c>
      <c r="M63">
        <f>+M62*(1-Probs_Mujeres!M62)</f>
        <v>90155.008828262042</v>
      </c>
      <c r="N63">
        <f>+N62*(1-Probs_Mujeres!N62)</f>
        <v>90155.361062607772</v>
      </c>
      <c r="O63">
        <f>+O62*(1-Probs_Mujeres!O62)</f>
        <v>90155.599036323925</v>
      </c>
      <c r="P63">
        <f>+P62*(1-Probs_Mujeres!P62)</f>
        <v>90155.759816300982</v>
      </c>
      <c r="Q63">
        <f>+Q62*(1-Probs_Mujeres!Q62)</f>
        <v>90155.868443546642</v>
      </c>
      <c r="R63">
        <f>+R62*(1-Probs_Mujeres!R62)</f>
        <v>90155.941835452366</v>
      </c>
      <c r="S63">
        <f>+S62*(1-Probs_Mujeres!S62)</f>
        <v>90155.991421479557</v>
      </c>
      <c r="T63">
        <f>+T62*(1-Probs_Mujeres!T62)</f>
        <v>90156.024923549761</v>
      </c>
      <c r="U63">
        <f>+U62*(1-Probs_Mujeres!U62)</f>
        <v>90156.047558772741</v>
      </c>
      <c r="V63">
        <f>+V62*(1-Probs_Mujeres!V62)</f>
        <v>90156.062851975541</v>
      </c>
      <c r="W63">
        <f>+W62*(1-Probs_Mujeres!W62)</f>
        <v>90156.073184643741</v>
      </c>
      <c r="X63">
        <f>+X62*(1-Probs_Mujeres!X62)</f>
        <v>90156.080165790438</v>
      </c>
      <c r="Y63">
        <f>+Y62*(1-Probs_Mujeres!Y62)</f>
        <v>90156.084882522584</v>
      </c>
      <c r="Z63">
        <f>+Z62*(1-Probs_Mujeres!Z62)</f>
        <v>90156.088069329708</v>
      </c>
      <c r="AA63">
        <f>+AA62*(1-Probs_Mujeres!AA62)</f>
        <v>90156.09022246048</v>
      </c>
      <c r="AB63">
        <f>+AB62*(1-Probs_Mujeres!AB62)</f>
        <v>90156.091677199554</v>
      </c>
      <c r="AC63">
        <f>+AC62*(1-Probs_Mujeres!AC62)</f>
        <v>90156.09266007792</v>
      </c>
      <c r="AD63">
        <f>+AD62*(1-Probs_Mujeres!AD62)</f>
        <v>90156.093324149071</v>
      </c>
      <c r="AE63">
        <f>+AE62*(1-Probs_Mujeres!AE62)</f>
        <v>90156.093772821463</v>
      </c>
      <c r="AF63">
        <f>+AF62*(1-Probs_Mujeres!AF62)</f>
        <v>90156.09407596213</v>
      </c>
      <c r="AG63">
        <f>+AG62*(1-Probs_Mujeres!AG62)</f>
        <v>90156.094280775724</v>
      </c>
      <c r="AH63">
        <f>+AH62*(1-Probs_Mujeres!AH62)</f>
        <v>90156.094419155881</v>
      </c>
    </row>
    <row r="64" spans="1:34" x14ac:dyDescent="0.25">
      <c r="A64">
        <f>+Probs_Hombres!A64</f>
        <v>62</v>
      </c>
      <c r="B64">
        <f>+B63*(1-Probs_Mujeres!B63)</f>
        <v>89487.314974906258</v>
      </c>
      <c r="C64">
        <f>+C63*(1-Probs_Mujeres!C63)</f>
        <v>89514.779409644951</v>
      </c>
      <c r="D64">
        <f>+D63*(1-Probs_Mujeres!D63)</f>
        <v>89533.280933338872</v>
      </c>
      <c r="E64">
        <f>+E63*(1-Probs_Mujeres!E63)</f>
        <v>89545.756488982719</v>
      </c>
      <c r="F64">
        <f>+F63*(1-Probs_Mujeres!F63)</f>
        <v>89554.174170753293</v>
      </c>
      <c r="G64">
        <f>+G63*(1-Probs_Mujeres!G63)</f>
        <v>89559.856340010927</v>
      </c>
      <c r="H64">
        <f>+H63*(1-Probs_Mujeres!H63)</f>
        <v>89563.693089510023</v>
      </c>
      <c r="I64">
        <f>+I63*(1-Probs_Mujeres!I63)</f>
        <v>89566.284277323939</v>
      </c>
      <c r="J64">
        <f>+J63*(1-Probs_Mujeres!J63)</f>
        <v>89568.034496888737</v>
      </c>
      <c r="K64">
        <f>+K63*(1-Probs_Mujeres!K63)</f>
        <v>89569.21679088191</v>
      </c>
      <c r="L64">
        <f>+L63*(1-Probs_Mujeres!L63)</f>
        <v>89570.015493272294</v>
      </c>
      <c r="M64">
        <f>+M63*(1-Probs_Mujeres!M63)</f>
        <v>89570.555081446175</v>
      </c>
      <c r="N64">
        <f>+N63*(1-Probs_Mujeres!N63)</f>
        <v>89570.919627145762</v>
      </c>
      <c r="O64">
        <f>+O63*(1-Probs_Mujeres!O63)</f>
        <v>89571.165918815459</v>
      </c>
      <c r="P64">
        <f>+P63*(1-Probs_Mujeres!P63)</f>
        <v>89571.332318691406</v>
      </c>
      <c r="Q64">
        <f>+Q63*(1-Probs_Mujeres!Q63)</f>
        <v>89571.444742944252</v>
      </c>
      <c r="R64">
        <f>+R63*(1-Probs_Mujeres!R63)</f>
        <v>89571.520700249093</v>
      </c>
      <c r="S64">
        <f>+S63*(1-Probs_Mujeres!S63)</f>
        <v>89571.572019556901</v>
      </c>
      <c r="T64">
        <f>+T63*(1-Probs_Mujeres!T63)</f>
        <v>89571.606692697766</v>
      </c>
      <c r="U64">
        <f>+U63*(1-Probs_Mujeres!U63)</f>
        <v>89571.630119141191</v>
      </c>
      <c r="V64">
        <f>+V63*(1-Probs_Mujeres!V63)</f>
        <v>89571.645946923149</v>
      </c>
      <c r="W64">
        <f>+W63*(1-Probs_Mujeres!W63)</f>
        <v>89571.656640773814</v>
      </c>
      <c r="X64">
        <f>+X63*(1-Probs_Mujeres!X63)</f>
        <v>89571.663865949449</v>
      </c>
      <c r="Y64">
        <f>+Y63*(1-Probs_Mujeres!Y63)</f>
        <v>89571.668747557051</v>
      </c>
      <c r="Z64">
        <f>+Z63*(1-Probs_Mujeres!Z63)</f>
        <v>89571.672045760482</v>
      </c>
      <c r="AA64">
        <f>+AA63*(1-Probs_Mujeres!AA63)</f>
        <v>89571.674274154953</v>
      </c>
      <c r="AB64">
        <f>+AB63*(1-Probs_Mujeres!AB63)</f>
        <v>89571.675779745114</v>
      </c>
      <c r="AC64">
        <f>+AC63*(1-Probs_Mujeres!AC63)</f>
        <v>89571.676796980479</v>
      </c>
      <c r="AD64">
        <f>+AD63*(1-Probs_Mujeres!AD63)</f>
        <v>89571.677484264554</v>
      </c>
      <c r="AE64">
        <f>+AE63*(1-Probs_Mujeres!AE63)</f>
        <v>89571.677948620505</v>
      </c>
      <c r="AF64">
        <f>+AF63*(1-Probs_Mujeres!AF63)</f>
        <v>89571.6782623576</v>
      </c>
      <c r="AG64">
        <f>+AG63*(1-Probs_Mujeres!AG63)</f>
        <v>89571.678474330547</v>
      </c>
      <c r="AH64">
        <f>+AH63*(1-Probs_Mujeres!AH63)</f>
        <v>89571.678617547848</v>
      </c>
    </row>
    <row r="65" spans="1:34" x14ac:dyDescent="0.25">
      <c r="A65">
        <f>+Probs_Hombres!A65</f>
        <v>63</v>
      </c>
      <c r="B65">
        <f>+B64*(1-Probs_Mujeres!B64)</f>
        <v>88859.367980551746</v>
      </c>
      <c r="C65">
        <f>+C64*(1-Probs_Mujeres!C64)</f>
        <v>88887.717139667046</v>
      </c>
      <c r="D65">
        <f>+D64*(1-Probs_Mujeres!D64)</f>
        <v>88906.816130622203</v>
      </c>
      <c r="E65">
        <f>+E64*(1-Probs_Mujeres!E64)</f>
        <v>88919.695226434866</v>
      </c>
      <c r="F65">
        <f>+F64*(1-Probs_Mujeres!F64)</f>
        <v>88928.385495125651</v>
      </c>
      <c r="G65">
        <f>+G64*(1-Probs_Mujeres!G64)</f>
        <v>88934.25180701082</v>
      </c>
      <c r="H65">
        <f>+H64*(1-Probs_Mujeres!H64)</f>
        <v>88938.212957772397</v>
      </c>
      <c r="I65">
        <f>+I64*(1-Probs_Mujeres!I64)</f>
        <v>88940.888190139754</v>
      </c>
      <c r="J65">
        <f>+J64*(1-Probs_Mujeres!J64)</f>
        <v>88942.695190839862</v>
      </c>
      <c r="K65">
        <f>+K64*(1-Probs_Mujeres!K64)</f>
        <v>88943.915847177719</v>
      </c>
      <c r="L65">
        <f>+L64*(1-Probs_Mujeres!L64)</f>
        <v>88944.74046811572</v>
      </c>
      <c r="M65">
        <f>+M64*(1-Probs_Mujeres!M64)</f>
        <v>88945.297567621819</v>
      </c>
      <c r="N65">
        <f>+N64*(1-Probs_Mujeres!N64)</f>
        <v>88945.673944547278</v>
      </c>
      <c r="O65">
        <f>+O64*(1-Probs_Mujeres!O64)</f>
        <v>88945.928229803452</v>
      </c>
      <c r="P65">
        <f>+P64*(1-Probs_Mujeres!P64)</f>
        <v>88946.100030435176</v>
      </c>
      <c r="Q65">
        <f>+Q64*(1-Probs_Mujeres!Q64)</f>
        <v>88946.216103639003</v>
      </c>
      <c r="R65">
        <f>+R64*(1-Probs_Mujeres!R64)</f>
        <v>88946.294526312879</v>
      </c>
      <c r="S65">
        <f>+S64*(1-Probs_Mujeres!S64)</f>
        <v>88946.347511318221</v>
      </c>
      <c r="T65">
        <f>+T64*(1-Probs_Mujeres!T64)</f>
        <v>88946.38330986847</v>
      </c>
      <c r="U65">
        <f>+U64*(1-Probs_Mujeres!U64)</f>
        <v>88946.407496682034</v>
      </c>
      <c r="V65">
        <f>+V64*(1-Probs_Mujeres!V64)</f>
        <v>88946.423838199597</v>
      </c>
      <c r="W65">
        <f>+W64*(1-Probs_Mujeres!W64)</f>
        <v>88946.434879150038</v>
      </c>
      <c r="X65">
        <f>+X64*(1-Probs_Mujeres!X64)</f>
        <v>88946.442338839828</v>
      </c>
      <c r="Y65">
        <f>+Y64*(1-Probs_Mujeres!Y64)</f>
        <v>88946.447378894343</v>
      </c>
      <c r="Z65">
        <f>+Z64*(1-Probs_Mujeres!Z64)</f>
        <v>88946.4507841507</v>
      </c>
      <c r="AA65">
        <f>+AA64*(1-Probs_Mujeres!AA64)</f>
        <v>88946.453084874316</v>
      </c>
      <c r="AB65">
        <f>+AB64*(1-Probs_Mujeres!AB64)</f>
        <v>88946.454639332864</v>
      </c>
      <c r="AC65">
        <f>+AC64*(1-Probs_Mujeres!AC64)</f>
        <v>88946.455689585651</v>
      </c>
      <c r="AD65">
        <f>+AD64*(1-Probs_Mujeres!AD64)</f>
        <v>88946.456399177565</v>
      </c>
      <c r="AE65">
        <f>+AE64*(1-Probs_Mujeres!AE64)</f>
        <v>88946.456878605561</v>
      </c>
      <c r="AF65">
        <f>+AF64*(1-Probs_Mujeres!AF64)</f>
        <v>88946.45720252594</v>
      </c>
      <c r="AG65">
        <f>+AG64*(1-Probs_Mujeres!AG64)</f>
        <v>88946.457421379106</v>
      </c>
      <c r="AH65">
        <f>+AH64*(1-Probs_Mujeres!AH64)</f>
        <v>88946.457569244943</v>
      </c>
    </row>
    <row r="66" spans="1:34" x14ac:dyDescent="0.25">
      <c r="A66">
        <f>+Probs_Hombres!A66</f>
        <v>64</v>
      </c>
      <c r="B66">
        <f>+B65*(1-Probs_Mujeres!B65)</f>
        <v>88188.443086218424</v>
      </c>
      <c r="C66">
        <f>+C65*(1-Probs_Mujeres!C65)</f>
        <v>88218.01266475067</v>
      </c>
      <c r="D66">
        <f>+D65*(1-Probs_Mujeres!D65)</f>
        <v>88237.935419370595</v>
      </c>
      <c r="E66">
        <f>+E65*(1-Probs_Mujeres!E65)</f>
        <v>88251.370716322985</v>
      </c>
      <c r="F66">
        <f>+F65*(1-Probs_Mujeres!F65)</f>
        <v>88260.436609001772</v>
      </c>
      <c r="G66">
        <f>+G65*(1-Probs_Mujeres!G65)</f>
        <v>88266.55663071353</v>
      </c>
      <c r="H66">
        <f>+H65*(1-Probs_Mujeres!H65)</f>
        <v>88270.689162843337</v>
      </c>
      <c r="I66">
        <f>+I65*(1-Probs_Mujeres!I65)</f>
        <v>88273.48017122173</v>
      </c>
      <c r="J66">
        <f>+J65*(1-Probs_Mujeres!J65)</f>
        <v>88275.36538744306</v>
      </c>
      <c r="K66">
        <f>+K65*(1-Probs_Mujeres!K65)</f>
        <v>88276.638885922745</v>
      </c>
      <c r="L66">
        <f>+L65*(1-Probs_Mujeres!L65)</f>
        <v>88277.49920756153</v>
      </c>
      <c r="M66">
        <f>+M65*(1-Probs_Mujeres!M65)</f>
        <v>88278.080427165085</v>
      </c>
      <c r="N66">
        <f>+N65*(1-Probs_Mujeres!N65)</f>
        <v>88278.473100255869</v>
      </c>
      <c r="O66">
        <f>+O65*(1-Probs_Mujeres!O65)</f>
        <v>88278.738395694614</v>
      </c>
      <c r="P66">
        <f>+P65*(1-Probs_Mujeres!P65)</f>
        <v>88278.917635170612</v>
      </c>
      <c r="Q66">
        <f>+Q65*(1-Probs_Mujeres!Q65)</f>
        <v>88279.03873431863</v>
      </c>
      <c r="R66">
        <f>+R65*(1-Probs_Mujeres!R65)</f>
        <v>88279.120552703345</v>
      </c>
      <c r="S66">
        <f>+S65*(1-Probs_Mujeres!S65)</f>
        <v>88279.17583197754</v>
      </c>
      <c r="T66">
        <f>+T65*(1-Probs_Mujeres!T65)</f>
        <v>88279.213180622741</v>
      </c>
      <c r="U66">
        <f>+U65*(1-Probs_Mujeres!U65)</f>
        <v>88279.238414739797</v>
      </c>
      <c r="V66">
        <f>+V65*(1-Probs_Mujeres!V65)</f>
        <v>88279.25546385601</v>
      </c>
      <c r="W66">
        <f>+W65*(1-Probs_Mujeres!W65)</f>
        <v>88279.266982887493</v>
      </c>
      <c r="X66">
        <f>+X65*(1-Probs_Mujeres!X65)</f>
        <v>88279.274765587441</v>
      </c>
      <c r="Y66">
        <f>+Y65*(1-Probs_Mujeres!Y65)</f>
        <v>88279.280023880186</v>
      </c>
      <c r="Z66">
        <f>+Z65*(1-Probs_Mujeres!Z65)</f>
        <v>88279.283576586808</v>
      </c>
      <c r="AA66">
        <f>+AA65*(1-Probs_Mujeres!AA65)</f>
        <v>88279.285976933592</v>
      </c>
      <c r="AB66">
        <f>+AB65*(1-Probs_Mujeres!AB65)</f>
        <v>88279.287598701427</v>
      </c>
      <c r="AC66">
        <f>+AC65*(1-Probs_Mujeres!AC65)</f>
        <v>88279.288694431016</v>
      </c>
      <c r="AD66">
        <f>+AD65*(1-Probs_Mujeres!AD65)</f>
        <v>88279.289434748833</v>
      </c>
      <c r="AE66">
        <f>+AE65*(1-Probs_Mujeres!AE65)</f>
        <v>88279.289934936445</v>
      </c>
      <c r="AF66">
        <f>+AF65*(1-Probs_Mujeres!AF65)</f>
        <v>88279.290272882834</v>
      </c>
      <c r="AG66">
        <f>+AG65*(1-Probs_Mujeres!AG65)</f>
        <v>88279.290501212527</v>
      </c>
      <c r="AH66">
        <f>+AH65*(1-Probs_Mujeres!AH65)</f>
        <v>88279.290655481076</v>
      </c>
    </row>
    <row r="67" spans="1:34" x14ac:dyDescent="0.25">
      <c r="A67">
        <f>+Probs_Hombres!A67</f>
        <v>65</v>
      </c>
      <c r="B67">
        <f>+B66*(1-Probs_Mujeres!B66)</f>
        <v>87477.226524059355</v>
      </c>
      <c r="C67">
        <f>+C66*(1-Probs_Mujeres!C66)</f>
        <v>87508.591664628868</v>
      </c>
      <c r="D67">
        <f>+D66*(1-Probs_Mujeres!D66)</f>
        <v>87529.725509127136</v>
      </c>
      <c r="E67">
        <f>+E66*(1-Probs_Mujeres!E66)</f>
        <v>87543.978124448098</v>
      </c>
      <c r="F67">
        <f>+F66*(1-Probs_Mujeres!F66)</f>
        <v>87553.595799683113</v>
      </c>
      <c r="G67">
        <f>+G66*(1-Probs_Mujeres!G66)</f>
        <v>87560.088431121098</v>
      </c>
      <c r="H67">
        <f>+H66*(1-Probs_Mujeres!H66)</f>
        <v>87564.472623417707</v>
      </c>
      <c r="I67">
        <f>+I66*(1-Probs_Mujeres!I66)</f>
        <v>87567.433622376542</v>
      </c>
      <c r="J67">
        <f>+J66*(1-Probs_Mujeres!J66)</f>
        <v>87569.433672226602</v>
      </c>
      <c r="K67">
        <f>+K66*(1-Probs_Mujeres!K66)</f>
        <v>87570.784748281745</v>
      </c>
      <c r="L67">
        <f>+L66*(1-Probs_Mujeres!L66)</f>
        <v>87571.697480478033</v>
      </c>
      <c r="M67">
        <f>+M66*(1-Probs_Mujeres!M66)</f>
        <v>87572.314108930237</v>
      </c>
      <c r="N67">
        <f>+N66*(1-Probs_Mujeres!N66)</f>
        <v>87572.730704814574</v>
      </c>
      <c r="O67">
        <f>+O66*(1-Probs_Mujeres!O66)</f>
        <v>87573.012163058942</v>
      </c>
      <c r="P67">
        <f>+P66*(1-Probs_Mujeres!P66)</f>
        <v>87573.202322590078</v>
      </c>
      <c r="Q67">
        <f>+Q66*(1-Probs_Mujeres!Q66)</f>
        <v>87573.330799677598</v>
      </c>
      <c r="R67">
        <f>+R66*(1-Probs_Mujeres!R66)</f>
        <v>87573.417602851783</v>
      </c>
      <c r="S67">
        <f>+S66*(1-Probs_Mujeres!S66)</f>
        <v>87573.476250028747</v>
      </c>
      <c r="T67">
        <f>+T66*(1-Probs_Mujeres!T66)</f>
        <v>87573.515874153527</v>
      </c>
      <c r="U67">
        <f>+U66*(1-Probs_Mujeres!U66)</f>
        <v>87573.542645670284</v>
      </c>
      <c r="V67">
        <f>+V66*(1-Probs_Mujeres!V66)</f>
        <v>87573.560733512379</v>
      </c>
      <c r="W67">
        <f>+W66*(1-Probs_Mujeres!W66)</f>
        <v>87573.572954347008</v>
      </c>
      <c r="X67">
        <f>+X66*(1-Probs_Mujeres!X66)</f>
        <v>87573.581211212309</v>
      </c>
      <c r="Y67">
        <f>+Y66*(1-Probs_Mujeres!Y66)</f>
        <v>87573.586789869572</v>
      </c>
      <c r="Z67">
        <f>+Z66*(1-Probs_Mujeres!Z66)</f>
        <v>87573.590559026939</v>
      </c>
      <c r="AA67">
        <f>+AA66*(1-Probs_Mujeres!AA66)</f>
        <v>87573.593105616281</v>
      </c>
      <c r="AB67">
        <f>+AB66*(1-Probs_Mujeres!AB66)</f>
        <v>87573.5948261913</v>
      </c>
      <c r="AC67">
        <f>+AC66*(1-Probs_Mujeres!AC66)</f>
        <v>87573.595988678891</v>
      </c>
      <c r="AD67">
        <f>+AD66*(1-Probs_Mujeres!AD66)</f>
        <v>87573.596774101024</v>
      </c>
      <c r="AE67">
        <f>+AE66*(1-Probs_Mujeres!AE66)</f>
        <v>87573.597304762865</v>
      </c>
      <c r="AF67">
        <f>+AF66*(1-Probs_Mujeres!AF66)</f>
        <v>87573.597663298846</v>
      </c>
      <c r="AG67">
        <f>+AG66*(1-Probs_Mujeres!AG66)</f>
        <v>87573.59790553966</v>
      </c>
      <c r="AH67">
        <f>+AH66*(1-Probs_Mujeres!AH66)</f>
        <v>87573.598069207103</v>
      </c>
    </row>
    <row r="68" spans="1:34" x14ac:dyDescent="0.25">
      <c r="A68">
        <f>+Probs_Hombres!A68</f>
        <v>66</v>
      </c>
      <c r="B68">
        <f>+B67*(1-Probs_Mujeres!B67)</f>
        <v>86719.681395175357</v>
      </c>
      <c r="C68">
        <f>+C67*(1-Probs_Mujeres!C67)</f>
        <v>86753.116920100889</v>
      </c>
      <c r="D68">
        <f>+D67*(1-Probs_Mujeres!D67)</f>
        <v>86775.64696275632</v>
      </c>
      <c r="E68">
        <f>+E67*(1-Probs_Mujeres!E67)</f>
        <v>86790.84170190891</v>
      </c>
      <c r="F68">
        <f>+F67*(1-Probs_Mujeres!F67)</f>
        <v>86801.095364157882</v>
      </c>
      <c r="G68">
        <f>+G67*(1-Probs_Mujeres!G67)</f>
        <v>86808.017442864002</v>
      </c>
      <c r="H68">
        <f>+H67*(1-Probs_Mujeres!H67)</f>
        <v>86812.691672225628</v>
      </c>
      <c r="I68">
        <f>+I67*(1-Probs_Mujeres!I67)</f>
        <v>86815.848579395635</v>
      </c>
      <c r="J68">
        <f>+J67*(1-Probs_Mujeres!J67)</f>
        <v>86817.980968681135</v>
      </c>
      <c r="K68">
        <f>+K67*(1-Probs_Mujeres!K67)</f>
        <v>86819.421447565168</v>
      </c>
      <c r="L68">
        <f>+L67*(1-Probs_Mujeres!L67)</f>
        <v>86820.39457884818</v>
      </c>
      <c r="M68">
        <f>+M67*(1-Probs_Mujeres!M67)</f>
        <v>86821.052013021399</v>
      </c>
      <c r="N68">
        <f>+N67*(1-Probs_Mujeres!N67)</f>
        <v>86821.496177813518</v>
      </c>
      <c r="O68">
        <f>+O67*(1-Probs_Mujeres!O67)</f>
        <v>86821.796262218748</v>
      </c>
      <c r="P68">
        <f>+P67*(1-Probs_Mujeres!P67)</f>
        <v>86821.999006097554</v>
      </c>
      <c r="Q68">
        <f>+Q67*(1-Probs_Mujeres!Q67)</f>
        <v>86822.13598556444</v>
      </c>
      <c r="R68">
        <f>+R67*(1-Probs_Mujeres!R67)</f>
        <v>86822.228533233952</v>
      </c>
      <c r="S68">
        <f>+S67*(1-Probs_Mujeres!S67)</f>
        <v>86822.291061596246</v>
      </c>
      <c r="T68">
        <f>+T67*(1-Probs_Mujeres!T67)</f>
        <v>86822.333307992361</v>
      </c>
      <c r="U68">
        <f>+U67*(1-Probs_Mujeres!U67)</f>
        <v>86822.36185121398</v>
      </c>
      <c r="V68">
        <f>+V67*(1-Probs_Mujeres!V67)</f>
        <v>86822.381136087264</v>
      </c>
      <c r="W68">
        <f>+W67*(1-Probs_Mujeres!W67)</f>
        <v>86822.394165682112</v>
      </c>
      <c r="X68">
        <f>+X67*(1-Probs_Mujeres!X67)</f>
        <v>86822.402968977069</v>
      </c>
      <c r="Y68">
        <f>+Y67*(1-Probs_Mujeres!Y67)</f>
        <v>86822.408916823406</v>
      </c>
      <c r="Z68">
        <f>+Z67*(1-Probs_Mujeres!Z67)</f>
        <v>86822.412935419256</v>
      </c>
      <c r="AA68">
        <f>+AA67*(1-Probs_Mujeres!AA67)</f>
        <v>86822.415650538984</v>
      </c>
      <c r="AB68">
        <f>+AB67*(1-Probs_Mujeres!AB67)</f>
        <v>86822.417484979698</v>
      </c>
      <c r="AC68">
        <f>+AC67*(1-Probs_Mujeres!AC67)</f>
        <v>86822.418724399395</v>
      </c>
      <c r="AD68">
        <f>+AD67*(1-Probs_Mujeres!AD67)</f>
        <v>86822.419561799878</v>
      </c>
      <c r="AE68">
        <f>+AE67*(1-Probs_Mujeres!AE67)</f>
        <v>86822.420127580306</v>
      </c>
      <c r="AF68">
        <f>+AF67*(1-Probs_Mujeres!AF67)</f>
        <v>86822.420509843781</v>
      </c>
      <c r="AG68">
        <f>+AG67*(1-Probs_Mujeres!AG67)</f>
        <v>86822.42076811583</v>
      </c>
      <c r="AH68">
        <f>+AH67*(1-Probs_Mujeres!AH67)</f>
        <v>86822.420942614597</v>
      </c>
    </row>
    <row r="69" spans="1:34" x14ac:dyDescent="0.25">
      <c r="A69">
        <f>+Probs_Hombres!A69</f>
        <v>67</v>
      </c>
      <c r="B69">
        <f>+B68*(1-Probs_Mujeres!B68)</f>
        <v>85892.335141318123</v>
      </c>
      <c r="C69">
        <f>+C68*(1-Probs_Mujeres!C68)</f>
        <v>85927.518513643387</v>
      </c>
      <c r="D69">
        <f>+D68*(1-Probs_Mujeres!D68)</f>
        <v>85951.228035960521</v>
      </c>
      <c r="E69">
        <f>+E68*(1-Probs_Mujeres!E68)</f>
        <v>85967.219021911646</v>
      </c>
      <c r="F69">
        <f>+F68*(1-Probs_Mujeres!F68)</f>
        <v>85978.010359975582</v>
      </c>
      <c r="G69">
        <f>+G68*(1-Probs_Mujeres!G68)</f>
        <v>85985.295576607532</v>
      </c>
      <c r="H69">
        <f>+H68*(1-Probs_Mujeres!H68)</f>
        <v>85990.215093642284</v>
      </c>
      <c r="I69">
        <f>+I68*(1-Probs_Mujeres!I68)</f>
        <v>85993.537698214437</v>
      </c>
      <c r="J69">
        <f>+J68*(1-Probs_Mujeres!J68)</f>
        <v>85995.782026114204</v>
      </c>
      <c r="K69">
        <f>+K68*(1-Probs_Mujeres!K68)</f>
        <v>85997.298129155402</v>
      </c>
      <c r="L69">
        <f>+L68*(1-Probs_Mujeres!L68)</f>
        <v>85998.322352361516</v>
      </c>
      <c r="M69">
        <f>+M68*(1-Probs_Mujeres!M68)</f>
        <v>85999.014304997065</v>
      </c>
      <c r="N69">
        <f>+N68*(1-Probs_Mujeres!N68)</f>
        <v>85999.48179124693</v>
      </c>
      <c r="O69">
        <f>+O68*(1-Probs_Mujeres!O68)</f>
        <v>85999.797632283182</v>
      </c>
      <c r="P69">
        <f>+P68*(1-Probs_Mujeres!P68)</f>
        <v>86000.011021840517</v>
      </c>
      <c r="Q69">
        <f>+Q68*(1-Probs_Mujeres!Q68)</f>
        <v>86000.155193890547</v>
      </c>
      <c r="R69">
        <f>+R68*(1-Probs_Mujeres!R68)</f>
        <v>86000.252601126107</v>
      </c>
      <c r="S69">
        <f>+S68*(1-Probs_Mujeres!S68)</f>
        <v>86000.318412790177</v>
      </c>
      <c r="T69">
        <f>+T68*(1-Probs_Mujeres!T68)</f>
        <v>86000.362877508334</v>
      </c>
      <c r="U69">
        <f>+U68*(1-Probs_Mujeres!U68)</f>
        <v>86000.392919512786</v>
      </c>
      <c r="V69">
        <f>+V68*(1-Probs_Mujeres!V68)</f>
        <v>86000.413217021342</v>
      </c>
      <c r="W69">
        <f>+W68*(1-Probs_Mujeres!W68)</f>
        <v>86000.426930791713</v>
      </c>
      <c r="X69">
        <f>+X68*(1-Probs_Mujeres!X68)</f>
        <v>86000.436196342212</v>
      </c>
      <c r="Y69">
        <f>+Y68*(1-Probs_Mujeres!Y68)</f>
        <v>86000.442456506367</v>
      </c>
      <c r="Z69">
        <f>+Z68*(1-Probs_Mujeres!Z68)</f>
        <v>86000.446686116324</v>
      </c>
      <c r="AA69">
        <f>+AA68*(1-Probs_Mujeres!AA68)</f>
        <v>86000.449543805415</v>
      </c>
      <c r="AB69">
        <f>+AB68*(1-Probs_Mujeres!AB68)</f>
        <v>86000.451474571557</v>
      </c>
      <c r="AC69">
        <f>+AC68*(1-Probs_Mujeres!AC68)</f>
        <v>86000.452779072482</v>
      </c>
      <c r="AD69">
        <f>+AD68*(1-Probs_Mujeres!AD68)</f>
        <v>86000.453660444386</v>
      </c>
      <c r="AE69">
        <f>+AE68*(1-Probs_Mujeres!AE68)</f>
        <v>86000.454255933641</v>
      </c>
      <c r="AF69">
        <f>+AF68*(1-Probs_Mujeres!AF68)</f>
        <v>86000.454658269533</v>
      </c>
      <c r="AG69">
        <f>+AG68*(1-Probs_Mujeres!AG68)</f>
        <v>86000.454930103311</v>
      </c>
      <c r="AH69">
        <f>+AH68*(1-Probs_Mujeres!AH68)</f>
        <v>86000.45511376491</v>
      </c>
    </row>
    <row r="70" spans="1:34" x14ac:dyDescent="0.25">
      <c r="A70">
        <f>+Probs_Hombres!A70</f>
        <v>68</v>
      </c>
      <c r="B70">
        <f>+B69*(1-Probs_Mujeres!B69)</f>
        <v>84980.555113525596</v>
      </c>
      <c r="C70">
        <f>+C69*(1-Probs_Mujeres!C69)</f>
        <v>85016.960038846373</v>
      </c>
      <c r="D70">
        <f>+D69*(1-Probs_Mujeres!D69)</f>
        <v>85041.494711863939</v>
      </c>
      <c r="E70">
        <f>+E69*(1-Probs_Mujeres!E69)</f>
        <v>85058.043118723566</v>
      </c>
      <c r="F70">
        <f>+F69*(1-Probs_Mujeres!F69)</f>
        <v>85069.211033636893</v>
      </c>
      <c r="G70">
        <f>+G69*(1-Probs_Mujeres!G69)</f>
        <v>85076.75066256673</v>
      </c>
      <c r="H70">
        <f>+H69*(1-Probs_Mujeres!H69)</f>
        <v>85081.842062347248</v>
      </c>
      <c r="I70">
        <f>+I69*(1-Probs_Mujeres!I69)</f>
        <v>85085.280793888363</v>
      </c>
      <c r="J70">
        <f>+J69*(1-Probs_Mujeres!J69)</f>
        <v>85087.603580000359</v>
      </c>
      <c r="K70">
        <f>+K69*(1-Probs_Mujeres!K69)</f>
        <v>85089.172691696847</v>
      </c>
      <c r="L70">
        <f>+L69*(1-Probs_Mujeres!L69)</f>
        <v>85090.232729266834</v>
      </c>
      <c r="M70">
        <f>+M69*(1-Probs_Mujeres!M69)</f>
        <v>85090.948879324584</v>
      </c>
      <c r="N70">
        <f>+N69*(1-Probs_Mujeres!N69)</f>
        <v>85091.432714225099</v>
      </c>
      <c r="O70">
        <f>+O69*(1-Probs_Mujeres!O69)</f>
        <v>85091.759601015365</v>
      </c>
      <c r="P70">
        <f>+P69*(1-Probs_Mujeres!P69)</f>
        <v>85091.980453500801</v>
      </c>
      <c r="Q70">
        <f>+Q69*(1-Probs_Mujeres!Q69)</f>
        <v>85092.129667789981</v>
      </c>
      <c r="R70">
        <f>+R69*(1-Probs_Mujeres!R69)</f>
        <v>85092.230481756385</v>
      </c>
      <c r="S70">
        <f>+S69*(1-Probs_Mujeres!S69)</f>
        <v>85092.298595139655</v>
      </c>
      <c r="T70">
        <f>+T69*(1-Probs_Mujeres!T69)</f>
        <v>85092.344614988688</v>
      </c>
      <c r="U70">
        <f>+U69*(1-Probs_Mujeres!U69)</f>
        <v>85092.375707700106</v>
      </c>
      <c r="V70">
        <f>+V69*(1-Probs_Mujeres!V69)</f>
        <v>85092.396715107272</v>
      </c>
      <c r="W70">
        <f>+W69*(1-Probs_Mujeres!W69)</f>
        <v>85092.410908512858</v>
      </c>
      <c r="X70">
        <f>+X69*(1-Probs_Mujeres!X69)</f>
        <v>85092.42049812364</v>
      </c>
      <c r="Y70">
        <f>+Y69*(1-Probs_Mujeres!Y69)</f>
        <v>85092.426977235606</v>
      </c>
      <c r="Z70">
        <f>+Z69*(1-Probs_Mujeres!Z69)</f>
        <v>85092.431354775239</v>
      </c>
      <c r="AA70">
        <f>+AA69*(1-Probs_Mujeres!AA69)</f>
        <v>85092.434312411424</v>
      </c>
      <c r="AB70">
        <f>+AB69*(1-Probs_Mujeres!AB69)</f>
        <v>85092.436310705743</v>
      </c>
      <c r="AC70">
        <f>+AC69*(1-Probs_Mujeres!AC69)</f>
        <v>85092.437660831332</v>
      </c>
      <c r="AD70">
        <f>+AD69*(1-Probs_Mujeres!AD69)</f>
        <v>85092.438573029038</v>
      </c>
      <c r="AE70">
        <f>+AE69*(1-Probs_Mujeres!AE69)</f>
        <v>85092.43918934543</v>
      </c>
      <c r="AF70">
        <f>+AF69*(1-Probs_Mujeres!AF69)</f>
        <v>85092.439605752937</v>
      </c>
      <c r="AG70">
        <f>+AG69*(1-Probs_Mujeres!AG69)</f>
        <v>85092.439887094064</v>
      </c>
      <c r="AH70">
        <f>+AH69*(1-Probs_Mujeres!AH69)</f>
        <v>85092.440077179184</v>
      </c>
    </row>
    <row r="71" spans="1:34" x14ac:dyDescent="0.25">
      <c r="A71">
        <f>+Probs_Hombres!A71</f>
        <v>69</v>
      </c>
      <c r="B71">
        <f>+B70*(1-Probs_Mujeres!B70)</f>
        <v>83985.227149221071</v>
      </c>
      <c r="C71">
        <f>+C70*(1-Probs_Mujeres!C70)</f>
        <v>84022.820656565178</v>
      </c>
      <c r="D71">
        <f>+D70*(1-Probs_Mujeres!D70)</f>
        <v>84048.158413639452</v>
      </c>
      <c r="E71">
        <f>+E70*(1-Probs_Mujeres!E70)</f>
        <v>84065.249427897666</v>
      </c>
      <c r="F71">
        <f>+F70*(1-Probs_Mujeres!F70)</f>
        <v>84076.78395463925</v>
      </c>
      <c r="G71">
        <f>+G70*(1-Probs_Mujeres!G70)</f>
        <v>84084.571282976176</v>
      </c>
      <c r="H71">
        <f>+H70*(1-Probs_Mujeres!H70)</f>
        <v>84089.830039073888</v>
      </c>
      <c r="I71">
        <f>+I70*(1-Probs_Mujeres!I70)</f>
        <v>84093.381843487005</v>
      </c>
      <c r="J71">
        <f>+J70*(1-Probs_Mujeres!J70)</f>
        <v>84095.78102623095</v>
      </c>
      <c r="K71">
        <f>+K70*(1-Probs_Mujeres!K70)</f>
        <v>84097.401754559687</v>
      </c>
      <c r="L71">
        <f>+L70*(1-Probs_Mujeres!L70)</f>
        <v>84098.496666381441</v>
      </c>
      <c r="M71">
        <f>+M70*(1-Probs_Mujeres!M70)</f>
        <v>84099.236378864283</v>
      </c>
      <c r="N71">
        <f>+N70*(1-Probs_Mujeres!N70)</f>
        <v>84099.736133468439</v>
      </c>
      <c r="O71">
        <f>+O70*(1-Probs_Mujeres!O70)</f>
        <v>84100.07377623675</v>
      </c>
      <c r="P71">
        <f>+P70*(1-Probs_Mujeres!P70)</f>
        <v>84100.301895883356</v>
      </c>
      <c r="Q71">
        <f>+Q70*(1-Probs_Mujeres!Q70)</f>
        <v>84100.456020151672</v>
      </c>
      <c r="R71">
        <f>+R70*(1-Probs_Mujeres!R70)</f>
        <v>84100.560151492449</v>
      </c>
      <c r="S71">
        <f>+S70*(1-Probs_Mujeres!S70)</f>
        <v>84100.630506223781</v>
      </c>
      <c r="T71">
        <f>+T70*(1-Probs_Mujeres!T70)</f>
        <v>84100.678040415354</v>
      </c>
      <c r="U71">
        <f>+U70*(1-Probs_Mujeres!U70)</f>
        <v>84100.710156275891</v>
      </c>
      <c r="V71">
        <f>+V70*(1-Probs_Mujeres!V70)</f>
        <v>84100.731854962651</v>
      </c>
      <c r="W71">
        <f>+W70*(1-Probs_Mujeres!W70)</f>
        <v>84100.746515423773</v>
      </c>
      <c r="X71">
        <f>+X70*(1-Probs_Mujeres!X70)</f>
        <v>84100.756420595571</v>
      </c>
      <c r="Y71">
        <f>+Y70*(1-Probs_Mujeres!Y70)</f>
        <v>84100.7631129129</v>
      </c>
      <c r="Z71">
        <f>+Z70*(1-Probs_Mujeres!Z70)</f>
        <v>84100.767634502423</v>
      </c>
      <c r="AA71">
        <f>+AA70*(1-Probs_Mujeres!AA70)</f>
        <v>84100.770689464349</v>
      </c>
      <c r="AB71">
        <f>+AB70*(1-Probs_Mujeres!AB70)</f>
        <v>84100.772753515746</v>
      </c>
      <c r="AC71">
        <f>+AC70*(1-Probs_Mujeres!AC70)</f>
        <v>84100.774148069395</v>
      </c>
      <c r="AD71">
        <f>+AD70*(1-Probs_Mujeres!AD70)</f>
        <v>84100.775090284442</v>
      </c>
      <c r="AE71">
        <f>+AE70*(1-Probs_Mujeres!AE70)</f>
        <v>84100.775726881708</v>
      </c>
      <c r="AF71">
        <f>+AF70*(1-Probs_Mujeres!AF70)</f>
        <v>84100.776156991778</v>
      </c>
      <c r="AG71">
        <f>+AG70*(1-Probs_Mujeres!AG70)</f>
        <v>84100.776447590892</v>
      </c>
      <c r="AH71">
        <f>+AH70*(1-Probs_Mujeres!AH70)</f>
        <v>84100.776643931065</v>
      </c>
    </row>
    <row r="72" spans="1:34" x14ac:dyDescent="0.25">
      <c r="A72">
        <f>+Probs_Hombres!A72</f>
        <v>70</v>
      </c>
      <c r="B72">
        <f>+B71*(1-Probs_Mujeres!B71)</f>
        <v>82904.969387356919</v>
      </c>
      <c r="C72">
        <f>+C71*(1-Probs_Mujeres!C71)</f>
        <v>82944.076853452396</v>
      </c>
      <c r="D72">
        <f>+D71*(1-Probs_Mujeres!D71)</f>
        <v>82970.437228252064</v>
      </c>
      <c r="E72">
        <f>+E71*(1-Probs_Mujeres!E71)</f>
        <v>82988.219036675044</v>
      </c>
      <c r="F72">
        <f>+F71*(1-Probs_Mujeres!F71)</f>
        <v>83000.220232617619</v>
      </c>
      <c r="G72">
        <f>+G71*(1-Probs_Mujeres!G71)</f>
        <v>83008.322834076607</v>
      </c>
      <c r="H72">
        <f>+H71*(1-Probs_Mujeres!H71)</f>
        <v>83013.794588711637</v>
      </c>
      <c r="I72">
        <f>+I71*(1-Probs_Mujeres!I71)</f>
        <v>83017.490297627563</v>
      </c>
      <c r="J72">
        <f>+J71*(1-Probs_Mujeres!J71)</f>
        <v>83019.986705302421</v>
      </c>
      <c r="K72">
        <f>+K71*(1-Probs_Mujeres!K71)</f>
        <v>83021.673121418396</v>
      </c>
      <c r="L72">
        <f>+L71*(1-Probs_Mujeres!L71)</f>
        <v>83022.812413940177</v>
      </c>
      <c r="M72">
        <f>+M71*(1-Probs_Mujeres!M71)</f>
        <v>83023.582111514217</v>
      </c>
      <c r="N72">
        <f>+N71*(1-Probs_Mujeres!N71)</f>
        <v>83024.102125106801</v>
      </c>
      <c r="O72">
        <f>+O71*(1-Probs_Mujeres!O71)</f>
        <v>83024.4534555891</v>
      </c>
      <c r="P72">
        <f>+P71*(1-Probs_Mujeres!P71)</f>
        <v>83024.690823167432</v>
      </c>
      <c r="Q72">
        <f>+Q71*(1-Probs_Mujeres!Q71)</f>
        <v>83024.851195689596</v>
      </c>
      <c r="R72">
        <f>+R71*(1-Probs_Mujeres!R71)</f>
        <v>83024.959548590312</v>
      </c>
      <c r="S72">
        <f>+S71*(1-Probs_Mujeres!S71)</f>
        <v>83025.032755570501</v>
      </c>
      <c r="T72">
        <f>+T71*(1-Probs_Mujeres!T71)</f>
        <v>83025.082216851981</v>
      </c>
      <c r="U72">
        <f>+U71*(1-Probs_Mujeres!U71)</f>
        <v>83025.115634729431</v>
      </c>
      <c r="V72">
        <f>+V71*(1-Probs_Mujeres!V71)</f>
        <v>83025.138213109531</v>
      </c>
      <c r="W72">
        <f>+W71*(1-Probs_Mujeres!W71)</f>
        <v>83025.153467925833</v>
      </c>
      <c r="X72">
        <f>+X71*(1-Probs_Mujeres!X71)</f>
        <v>83025.163774667191</v>
      </c>
      <c r="Y72">
        <f>+Y71*(1-Probs_Mujeres!Y71)</f>
        <v>83025.1707383006</v>
      </c>
      <c r="Z72">
        <f>+Z71*(1-Probs_Mujeres!Z71)</f>
        <v>83025.175443201879</v>
      </c>
      <c r="AA72">
        <f>+AA71*(1-Probs_Mujeres!AA71)</f>
        <v>83025.178622016407</v>
      </c>
      <c r="AB72">
        <f>+AB71*(1-Probs_Mujeres!AB71)</f>
        <v>83025.180769747458</v>
      </c>
      <c r="AC72">
        <f>+AC71*(1-Probs_Mujeres!AC71)</f>
        <v>83025.182220838353</v>
      </c>
      <c r="AD72">
        <f>+AD71*(1-Probs_Mujeres!AD71)</f>
        <v>83025.183201252177</v>
      </c>
      <c r="AE72">
        <f>+AE71*(1-Probs_Mujeres!AE71)</f>
        <v>83025.183863658036</v>
      </c>
      <c r="AF72">
        <f>+AF71*(1-Probs_Mujeres!AF71)</f>
        <v>83025.184311205405</v>
      </c>
      <c r="AG72">
        <f>+AG71*(1-Probs_Mujeres!AG71)</f>
        <v>83025.184613585836</v>
      </c>
      <c r="AH72">
        <f>+AH71*(1-Probs_Mujeres!AH71)</f>
        <v>83025.184817885922</v>
      </c>
    </row>
    <row r="73" spans="1:34" x14ac:dyDescent="0.25">
      <c r="A73">
        <f>+Probs_Hombres!A73</f>
        <v>71</v>
      </c>
      <c r="B73">
        <f>+B72*(1-Probs_Mujeres!B72)</f>
        <v>81732.255917890681</v>
      </c>
      <c r="C73">
        <f>+C72*(1-Probs_Mujeres!C72)</f>
        <v>81773.065987582304</v>
      </c>
      <c r="D73">
        <f>+D72*(1-Probs_Mujeres!D72)</f>
        <v>81800.576349617055</v>
      </c>
      <c r="E73">
        <f>+E72*(1-Probs_Mujeres!E72)</f>
        <v>81819.134968384242</v>
      </c>
      <c r="F73">
        <f>+F72*(1-Probs_Mujeres!F72)</f>
        <v>81831.660931254286</v>
      </c>
      <c r="G73">
        <f>+G72*(1-Probs_Mujeres!G72)</f>
        <v>81840.118050615958</v>
      </c>
      <c r="H73">
        <f>+H72*(1-Probs_Mujeres!H72)</f>
        <v>81845.829315294424</v>
      </c>
      <c r="I73">
        <f>+I72*(1-Probs_Mujeres!I72)</f>
        <v>81849.686839185815</v>
      </c>
      <c r="J73">
        <f>+J72*(1-Probs_Mujeres!J72)</f>
        <v>81852.292572013626</v>
      </c>
      <c r="K73">
        <f>+K72*(1-Probs_Mujeres!K72)</f>
        <v>81854.052850937631</v>
      </c>
      <c r="L73">
        <f>+L72*(1-Probs_Mujeres!L72)</f>
        <v>81855.242047357751</v>
      </c>
      <c r="M73">
        <f>+M72*(1-Probs_Mujeres!M72)</f>
        <v>81856.045461636269</v>
      </c>
      <c r="N73">
        <f>+N72*(1-Probs_Mujeres!N72)</f>
        <v>81856.588255406707</v>
      </c>
      <c r="O73">
        <f>+O72*(1-Probs_Mujeres!O72)</f>
        <v>81856.954977001471</v>
      </c>
      <c r="P73">
        <f>+P72*(1-Probs_Mujeres!P72)</f>
        <v>81857.20274338701</v>
      </c>
      <c r="Q73">
        <f>+Q72*(1-Probs_Mujeres!Q72)</f>
        <v>81857.370141736246</v>
      </c>
      <c r="R73">
        <f>+R72*(1-Probs_Mujeres!R72)</f>
        <v>81857.483241554291</v>
      </c>
      <c r="S73">
        <f>+S72*(1-Probs_Mujeres!S72)</f>
        <v>81857.559655734658</v>
      </c>
      <c r="T73">
        <f>+T72*(1-Probs_Mujeres!T72)</f>
        <v>81857.611283924765</v>
      </c>
      <c r="U73">
        <f>+U72*(1-Probs_Mujeres!U72)</f>
        <v>81857.646165849859</v>
      </c>
      <c r="V73">
        <f>+V72*(1-Probs_Mujeres!V72)</f>
        <v>81857.669733397561</v>
      </c>
      <c r="W73">
        <f>+W72*(1-Probs_Mujeres!W72)</f>
        <v>81857.6856565341</v>
      </c>
      <c r="X73">
        <f>+X72*(1-Probs_Mujeres!X72)</f>
        <v>81857.696414818682</v>
      </c>
      <c r="Y73">
        <f>+Y72*(1-Probs_Mujeres!Y72)</f>
        <v>81857.703683532352</v>
      </c>
      <c r="Z73">
        <f>+Z72*(1-Probs_Mujeres!Z72)</f>
        <v>81857.708594557786</v>
      </c>
      <c r="AA73">
        <f>+AA72*(1-Probs_Mujeres!AA72)</f>
        <v>81857.711912637838</v>
      </c>
      <c r="AB73">
        <f>+AB72*(1-Probs_Mujeres!AB72)</f>
        <v>81857.714154462141</v>
      </c>
      <c r="AC73">
        <f>+AC72*(1-Probs_Mujeres!AC72)</f>
        <v>81857.715669126104</v>
      </c>
      <c r="AD73">
        <f>+AD72*(1-Probs_Mujeres!AD72)</f>
        <v>81857.71669249238</v>
      </c>
      <c r="AE73">
        <f>+AE72*(1-Probs_Mujeres!AE72)</f>
        <v>81857.7173839186</v>
      </c>
      <c r="AF73">
        <f>+AF72*(1-Probs_Mujeres!AF72)</f>
        <v>81857.717851073263</v>
      </c>
      <c r="AG73">
        <f>+AG72*(1-Probs_Mujeres!AG72)</f>
        <v>81857.718166701146</v>
      </c>
      <c r="AH73">
        <f>+AH72*(1-Probs_Mujeres!AH72)</f>
        <v>81857.718379951737</v>
      </c>
    </row>
    <row r="74" spans="1:34" x14ac:dyDescent="0.25">
      <c r="A74">
        <f>+Probs_Hombres!A74</f>
        <v>72</v>
      </c>
      <c r="B74">
        <f>+B73*(1-Probs_Mujeres!B73)</f>
        <v>80429.328083115848</v>
      </c>
      <c r="C74">
        <f>+C73*(1-Probs_Mujeres!C73)</f>
        <v>80471.434195362934</v>
      </c>
      <c r="D74">
        <f>+D73*(1-Probs_Mujeres!D73)</f>
        <v>80499.820675359864</v>
      </c>
      <c r="E74">
        <f>+E73*(1-Probs_Mujeres!E73)</f>
        <v>80518.971441356669</v>
      </c>
      <c r="F74">
        <f>+F73*(1-Probs_Mujeres!F73)</f>
        <v>80531.8975760147</v>
      </c>
      <c r="G74">
        <f>+G73*(1-Probs_Mujeres!G73)</f>
        <v>80540.625109723042</v>
      </c>
      <c r="H74">
        <f>+H73*(1-Probs_Mujeres!H73)</f>
        <v>80546.51909629516</v>
      </c>
      <c r="I74">
        <f>+I73*(1-Probs_Mujeres!I73)</f>
        <v>80550.500083070045</v>
      </c>
      <c r="J74">
        <f>+J73*(1-Probs_Mujeres!J73)</f>
        <v>80553.189236272839</v>
      </c>
      <c r="K74">
        <f>+K73*(1-Probs_Mujeres!K73)</f>
        <v>80555.005879099175</v>
      </c>
      <c r="L74">
        <f>+L73*(1-Probs_Mujeres!L73)</f>
        <v>80556.233158013172</v>
      </c>
      <c r="M74">
        <f>+M73*(1-Probs_Mujeres!M73)</f>
        <v>80557.062302696155</v>
      </c>
      <c r="N74">
        <f>+N73*(1-Probs_Mujeres!N73)</f>
        <v>80557.622481108745</v>
      </c>
      <c r="O74">
        <f>+O73*(1-Probs_Mujeres!O73)</f>
        <v>80558.000948527464</v>
      </c>
      <c r="P74">
        <f>+P73*(1-Probs_Mujeres!P73)</f>
        <v>80558.256650887561</v>
      </c>
      <c r="Q74">
        <f>+Q73*(1-Probs_Mujeres!Q73)</f>
        <v>80558.4294111083</v>
      </c>
      <c r="R74">
        <f>+R73*(1-Probs_Mujeres!R73)</f>
        <v>80558.546133624113</v>
      </c>
      <c r="S74">
        <f>+S73*(1-Probs_Mujeres!S73)</f>
        <v>80558.624995444305</v>
      </c>
      <c r="T74">
        <f>+T73*(1-Probs_Mujeres!T73)</f>
        <v>80558.678277357219</v>
      </c>
      <c r="U74">
        <f>+U73*(1-Probs_Mujeres!U73)</f>
        <v>80558.714276602899</v>
      </c>
      <c r="V74">
        <f>+V73*(1-Probs_Mujeres!V73)</f>
        <v>80558.738599056422</v>
      </c>
      <c r="W74">
        <f>+W73*(1-Probs_Mujeres!W73)</f>
        <v>80558.755032237037</v>
      </c>
      <c r="X74">
        <f>+X73*(1-Probs_Mujeres!X73)</f>
        <v>80558.766135127415</v>
      </c>
      <c r="Y74">
        <f>+Y73*(1-Probs_Mujeres!Y73)</f>
        <v>80558.773636670274</v>
      </c>
      <c r="Z74">
        <f>+Z73*(1-Probs_Mujeres!Z73)</f>
        <v>80558.778705004253</v>
      </c>
      <c r="AA74">
        <f>+AA73*(1-Probs_Mujeres!AA73)</f>
        <v>80558.782129368105</v>
      </c>
      <c r="AB74">
        <f>+AB73*(1-Probs_Mujeres!AB73)</f>
        <v>80558.784443001918</v>
      </c>
      <c r="AC74">
        <f>+AC73*(1-Probs_Mujeres!AC73)</f>
        <v>80558.786006183189</v>
      </c>
      <c r="AD74">
        <f>+AD73*(1-Probs_Mujeres!AD73)</f>
        <v>80558.787062329662</v>
      </c>
      <c r="AE74">
        <f>+AE73*(1-Probs_Mujeres!AE73)</f>
        <v>80558.78777590346</v>
      </c>
      <c r="AF74">
        <f>+AF73*(1-Probs_Mujeres!AF73)</f>
        <v>80558.788258021887</v>
      </c>
      <c r="AG74">
        <f>+AG73*(1-Probs_Mujeres!AG73)</f>
        <v>80558.788583759888</v>
      </c>
      <c r="AH74">
        <f>+AH73*(1-Probs_Mujeres!AH73)</f>
        <v>80558.788803841264</v>
      </c>
    </row>
    <row r="75" spans="1:34" x14ac:dyDescent="0.25">
      <c r="A75">
        <f>+Probs_Hombres!A75</f>
        <v>73</v>
      </c>
      <c r="B75">
        <f>+B74*(1-Probs_Mujeres!B74)</f>
        <v>78971.006290946039</v>
      </c>
      <c r="C75">
        <f>+C74*(1-Probs_Mujeres!C74)</f>
        <v>79013.856748169317</v>
      </c>
      <c r="D75">
        <f>+D74*(1-Probs_Mujeres!D74)</f>
        <v>79042.747278843861</v>
      </c>
      <c r="E75">
        <f>+E74*(1-Probs_Mujeres!E74)</f>
        <v>79062.239119856444</v>
      </c>
      <c r="F75">
        <f>+F74*(1-Probs_Mujeres!F74)</f>
        <v>79075.39593407356</v>
      </c>
      <c r="G75">
        <f>+G74*(1-Probs_Mujeres!G74)</f>
        <v>79084.279431364354</v>
      </c>
      <c r="H75">
        <f>+H74*(1-Probs_Mujeres!H74)</f>
        <v>79090.278842005122</v>
      </c>
      <c r="I75">
        <f>+I74*(1-Probs_Mujeres!I74)</f>
        <v>79094.331079735974</v>
      </c>
      <c r="J75">
        <f>+J74*(1-Probs_Mujeres!J74)</f>
        <v>79097.068383058649</v>
      </c>
      <c r="K75">
        <f>+K74*(1-Probs_Mujeres!K74)</f>
        <v>79098.917562637624</v>
      </c>
      <c r="L75">
        <f>+L74*(1-Probs_Mujeres!L74)</f>
        <v>79100.166826775734</v>
      </c>
      <c r="M75">
        <f>+M74*(1-Probs_Mujeres!M74)</f>
        <v>79101.010826504367</v>
      </c>
      <c r="N75">
        <f>+N74*(1-Probs_Mujeres!N74)</f>
        <v>79101.581042008882</v>
      </c>
      <c r="O75">
        <f>+O74*(1-Probs_Mujeres!O74)</f>
        <v>79101.966291081335</v>
      </c>
      <c r="P75">
        <f>+P74*(1-Probs_Mujeres!P74)</f>
        <v>79102.226575484106</v>
      </c>
      <c r="Q75">
        <f>+Q74*(1-Probs_Mujeres!Q74)</f>
        <v>79102.402431554205</v>
      </c>
      <c r="R75">
        <f>+R74*(1-Probs_Mujeres!R74)</f>
        <v>79102.521245766169</v>
      </c>
      <c r="S75">
        <f>+S74*(1-Probs_Mujeres!S74)</f>
        <v>79102.601520826895</v>
      </c>
      <c r="T75">
        <f>+T74*(1-Probs_Mujeres!T74)</f>
        <v>79102.655757584405</v>
      </c>
      <c r="U75">
        <f>+U74*(1-Probs_Mujeres!U74)</f>
        <v>79102.692401962282</v>
      </c>
      <c r="V75">
        <f>+V74*(1-Probs_Mujeres!V74)</f>
        <v>79102.717160293207</v>
      </c>
      <c r="W75">
        <f>+W74*(1-Probs_Mujeres!W74)</f>
        <v>79102.733887970026</v>
      </c>
      <c r="X75">
        <f>+X74*(1-Probs_Mujeres!X74)</f>
        <v>79102.745189833731</v>
      </c>
      <c r="Y75">
        <f>+Y74*(1-Probs_Mujeres!Y74)</f>
        <v>79102.75282581085</v>
      </c>
      <c r="Z75">
        <f>+Z74*(1-Probs_Mujeres!Z74)</f>
        <v>79102.757984973898</v>
      </c>
      <c r="AA75">
        <f>+AA74*(1-Probs_Mujeres!AA74)</f>
        <v>79102.761470705445</v>
      </c>
      <c r="AB75">
        <f>+AB74*(1-Probs_Mujeres!AB74)</f>
        <v>79102.763825801681</v>
      </c>
      <c r="AC75">
        <f>+AC74*(1-Probs_Mujeres!AC74)</f>
        <v>79102.765416996597</v>
      </c>
      <c r="AD75">
        <f>+AD74*(1-Probs_Mujeres!AD74)</f>
        <v>79102.766492070179</v>
      </c>
      <c r="AE75">
        <f>+AE74*(1-Probs_Mujeres!AE74)</f>
        <v>79102.76721843188</v>
      </c>
      <c r="AF75">
        <f>+AF74*(1-Probs_Mujeres!AF74)</f>
        <v>79102.767709190317</v>
      </c>
      <c r="AG75">
        <f>+AG74*(1-Probs_Mujeres!AG74)</f>
        <v>79102.768040765834</v>
      </c>
      <c r="AH75">
        <f>+AH74*(1-Probs_Mujeres!AH74)</f>
        <v>79102.768264791273</v>
      </c>
    </row>
    <row r="76" spans="1:34" x14ac:dyDescent="0.25">
      <c r="A76">
        <f>+Probs_Hombres!A76</f>
        <v>74</v>
      </c>
      <c r="B76">
        <f>+B75*(1-Probs_Mujeres!B75)</f>
        <v>77352.707686587499</v>
      </c>
      <c r="C76">
        <f>+C75*(1-Probs_Mujeres!C75)</f>
        <v>77395.939069245738</v>
      </c>
      <c r="D76">
        <f>+D75*(1-Probs_Mujeres!D75)</f>
        <v>77425.088439035157</v>
      </c>
      <c r="E76">
        <f>+E75*(1-Probs_Mujeres!E75)</f>
        <v>77444.755830737689</v>
      </c>
      <c r="F76">
        <f>+F75*(1-Probs_Mujeres!F75)</f>
        <v>77458.031558386283</v>
      </c>
      <c r="G76">
        <f>+G75*(1-Probs_Mujeres!G75)</f>
        <v>77466.995537003706</v>
      </c>
      <c r="H76">
        <f>+H75*(1-Probs_Mujeres!H75)</f>
        <v>77473.049387243431</v>
      </c>
      <c r="I76">
        <f>+I75*(1-Probs_Mujeres!I75)</f>
        <v>77477.138435353903</v>
      </c>
      <c r="J76">
        <f>+J75*(1-Probs_Mujeres!J75)</f>
        <v>77479.900622374815</v>
      </c>
      <c r="K76">
        <f>+K75*(1-Probs_Mujeres!K75)</f>
        <v>77481.766620361639</v>
      </c>
      <c r="L76">
        <f>+L75*(1-Probs_Mujeres!L75)</f>
        <v>77483.027250415907</v>
      </c>
      <c r="M76">
        <f>+M75*(1-Probs_Mujeres!M75)</f>
        <v>77483.87893065362</v>
      </c>
      <c r="N76">
        <f>+N75*(1-Probs_Mujeres!N75)</f>
        <v>77484.454335981776</v>
      </c>
      <c r="O76">
        <f>+O75*(1-Probs_Mujeres!O75)</f>
        <v>77484.843091762872</v>
      </c>
      <c r="P76">
        <f>+P75*(1-Probs_Mujeres!P75)</f>
        <v>77485.105745554247</v>
      </c>
      <c r="Q76">
        <f>+Q75*(1-Probs_Mujeres!Q75)</f>
        <v>77485.283202530307</v>
      </c>
      <c r="R76">
        <f>+R75*(1-Probs_Mujeres!R75)</f>
        <v>77485.403098401803</v>
      </c>
      <c r="S76">
        <f>+S75*(1-Probs_Mujeres!S75)</f>
        <v>77485.484104285351</v>
      </c>
      <c r="T76">
        <f>+T75*(1-Probs_Mujeres!T75)</f>
        <v>77485.538834820516</v>
      </c>
      <c r="U76">
        <f>+U75*(1-Probs_Mujeres!U75)</f>
        <v>77485.575812816271</v>
      </c>
      <c r="V76">
        <f>+V75*(1-Probs_Mujeres!V75)</f>
        <v>77485.600796553568</v>
      </c>
      <c r="W76">
        <f>+W75*(1-Probs_Mujeres!W75)</f>
        <v>77485.617676524242</v>
      </c>
      <c r="X76">
        <f>+X75*(1-Probs_Mujeres!X75)</f>
        <v>77485.629081283842</v>
      </c>
      <c r="Y76">
        <f>+Y75*(1-Probs_Mujeres!Y75)</f>
        <v>77485.636786781586</v>
      </c>
      <c r="Z76">
        <f>+Z75*(1-Probs_Mujeres!Z75)</f>
        <v>77485.641992915509</v>
      </c>
      <c r="AA76">
        <f>+AA75*(1-Probs_Mujeres!AA75)</f>
        <v>77485.645510382456</v>
      </c>
      <c r="AB76">
        <f>+AB75*(1-Probs_Mujeres!AB75)</f>
        <v>77485.647886920371</v>
      </c>
      <c r="AC76">
        <f>+AC75*(1-Probs_Mujeres!AC75)</f>
        <v>77485.649492602126</v>
      </c>
      <c r="AD76">
        <f>+AD75*(1-Probs_Mujeres!AD75)</f>
        <v>77485.650577463603</v>
      </c>
      <c r="AE76">
        <f>+AE75*(1-Probs_Mujeres!AE75)</f>
        <v>77485.651310438378</v>
      </c>
      <c r="AF76">
        <f>+AF75*(1-Probs_Mujeres!AF75)</f>
        <v>77485.651805664864</v>
      </c>
      <c r="AG76">
        <f>+AG75*(1-Probs_Mujeres!AG75)</f>
        <v>77485.652140259175</v>
      </c>
      <c r="AH76">
        <f>+AH75*(1-Probs_Mujeres!AH75)</f>
        <v>77485.652366324226</v>
      </c>
    </row>
    <row r="77" spans="1:34" x14ac:dyDescent="0.25">
      <c r="A77">
        <f>+Probs_Hombres!A77</f>
        <v>75</v>
      </c>
      <c r="B77">
        <f>+B76*(1-Probs_Mujeres!B76)</f>
        <v>75589.585020142753</v>
      </c>
      <c r="C77">
        <f>+C76*(1-Probs_Mujeres!C76)</f>
        <v>75633.283448424118</v>
      </c>
      <c r="D77">
        <f>+D76*(1-Probs_Mujeres!D76)</f>
        <v>75662.749974625869</v>
      </c>
      <c r="E77">
        <f>+E76*(1-Probs_Mujeres!E76)</f>
        <v>75682.632378036462</v>
      </c>
      <c r="F77">
        <f>+F76*(1-Probs_Mujeres!F76)</f>
        <v>75696.053707628758</v>
      </c>
      <c r="G77">
        <f>+G76*(1-Probs_Mujeres!G76)</f>
        <v>75705.116211721572</v>
      </c>
      <c r="H77">
        <f>+H76*(1-Probs_Mujeres!H76)</f>
        <v>75711.236698520399</v>
      </c>
      <c r="I77">
        <f>+I76*(1-Probs_Mujeres!I76)</f>
        <v>75715.370800320234</v>
      </c>
      <c r="J77">
        <f>+J76*(1-Probs_Mujeres!J76)</f>
        <v>75718.163441712619</v>
      </c>
      <c r="K77">
        <f>+K76*(1-Probs_Mujeres!K76)</f>
        <v>75720.050022406242</v>
      </c>
      <c r="L77">
        <f>+L76*(1-Probs_Mujeres!L76)</f>
        <v>75721.324561928122</v>
      </c>
      <c r="M77">
        <f>+M76*(1-Probs_Mujeres!M76)</f>
        <v>75722.185641309028</v>
      </c>
      <c r="N77">
        <f>+N76*(1-Probs_Mujeres!N76)</f>
        <v>75722.767397688091</v>
      </c>
      <c r="O77">
        <f>+O76*(1-Probs_Mujeres!O76)</f>
        <v>75723.16044477158</v>
      </c>
      <c r="P77">
        <f>+P76*(1-Probs_Mujeres!P76)</f>
        <v>75723.425998064369</v>
      </c>
      <c r="Q77">
        <f>+Q76*(1-Probs_Mujeres!Q76)</f>
        <v>75723.605414116188</v>
      </c>
      <c r="R77">
        <f>+R76*(1-Probs_Mujeres!R76)</f>
        <v>75723.726633642946</v>
      </c>
      <c r="S77">
        <f>+S76*(1-Probs_Mujeres!S76)</f>
        <v>75723.808533852105</v>
      </c>
      <c r="T77">
        <f>+T76*(1-Probs_Mujeres!T76)</f>
        <v>75723.863868634289</v>
      </c>
      <c r="U77">
        <f>+U76*(1-Probs_Mujeres!U76)</f>
        <v>75723.901254885524</v>
      </c>
      <c r="V77">
        <f>+V76*(1-Probs_Mujeres!V76)</f>
        <v>75723.926514457387</v>
      </c>
      <c r="W77">
        <f>+W76*(1-Probs_Mujeres!W76)</f>
        <v>75723.943580793217</v>
      </c>
      <c r="X77">
        <f>+X76*(1-Probs_Mujeres!X76)</f>
        <v>75723.955111468662</v>
      </c>
      <c r="Y77">
        <f>+Y76*(1-Probs_Mujeres!Y76)</f>
        <v>75723.962902040177</v>
      </c>
      <c r="Z77">
        <f>+Z76*(1-Probs_Mujeres!Z76)</f>
        <v>75723.968165653336</v>
      </c>
      <c r="AA77">
        <f>+AA76*(1-Probs_Mujeres!AA76)</f>
        <v>75723.971721955517</v>
      </c>
      <c r="AB77">
        <f>+AB76*(1-Probs_Mujeres!AB76)</f>
        <v>75723.974124732049</v>
      </c>
      <c r="AC77">
        <f>+AC76*(1-Probs_Mujeres!AC76)</f>
        <v>75723.975748141645</v>
      </c>
      <c r="AD77">
        <f>+AD76*(1-Probs_Mujeres!AD76)</f>
        <v>75723.976844980745</v>
      </c>
      <c r="AE77">
        <f>+AE76*(1-Probs_Mujeres!AE76)</f>
        <v>75723.977586048073</v>
      </c>
      <c r="AF77">
        <f>+AF76*(1-Probs_Mujeres!AF76)</f>
        <v>75723.978086742194</v>
      </c>
      <c r="AG77">
        <f>+AG76*(1-Probs_Mujeres!AG76)</f>
        <v>75723.978425030669</v>
      </c>
      <c r="AH77">
        <f>+AH76*(1-Probs_Mujeres!AH76)</f>
        <v>75723.978653591636</v>
      </c>
    </row>
    <row r="78" spans="1:34" x14ac:dyDescent="0.25">
      <c r="A78">
        <f>+Probs_Hombres!A78</f>
        <v>76</v>
      </c>
      <c r="B78">
        <f>+B77*(1-Probs_Mujeres!B77)</f>
        <v>73693.20843878646</v>
      </c>
      <c r="C78">
        <f>+C77*(1-Probs_Mujeres!C77)</f>
        <v>73737.46061425838</v>
      </c>
      <c r="D78">
        <f>+D77*(1-Probs_Mujeres!D77)</f>
        <v>73767.30299973108</v>
      </c>
      <c r="E78">
        <f>+E77*(1-Probs_Mujeres!E77)</f>
        <v>73787.440133074488</v>
      </c>
      <c r="F78">
        <f>+F77*(1-Probs_Mujeres!F77)</f>
        <v>73801.033925401891</v>
      </c>
      <c r="G78">
        <f>+G77*(1-Probs_Mujeres!G77)</f>
        <v>73810.213114833852</v>
      </c>
      <c r="H78">
        <f>+H77*(1-Probs_Mujeres!H77)</f>
        <v>73816.412513021904</v>
      </c>
      <c r="I78">
        <f>+I77*(1-Probs_Mujeres!I77)</f>
        <v>73820.599964290654</v>
      </c>
      <c r="J78">
        <f>+J77*(1-Probs_Mujeres!J77)</f>
        <v>73823.428666113585</v>
      </c>
      <c r="K78">
        <f>+K77*(1-Probs_Mujeres!K77)</f>
        <v>73825.339617691425</v>
      </c>
      <c r="L78">
        <f>+L77*(1-Probs_Mujeres!L77)</f>
        <v>73826.630626352038</v>
      </c>
      <c r="M78">
        <f>+M77*(1-Probs_Mujeres!M77)</f>
        <v>73827.502834395229</v>
      </c>
      <c r="N78">
        <f>+N77*(1-Probs_Mujeres!N77)</f>
        <v>73828.092110403915</v>
      </c>
      <c r="O78">
        <f>+O77*(1-Probs_Mujeres!O77)</f>
        <v>73828.490238349201</v>
      </c>
      <c r="P78">
        <f>+P77*(1-Probs_Mujeres!P77)</f>
        <v>73828.759224610636</v>
      </c>
      <c r="Q78">
        <f>+Q77*(1-Probs_Mujeres!Q77)</f>
        <v>73828.940960174121</v>
      </c>
      <c r="R78">
        <f>+R77*(1-Probs_Mujeres!R77)</f>
        <v>73829.063746882806</v>
      </c>
      <c r="S78">
        <f>+S77*(1-Probs_Mujeres!S77)</f>
        <v>73829.146705954685</v>
      </c>
      <c r="T78">
        <f>+T77*(1-Probs_Mujeres!T77)</f>
        <v>73829.202756152008</v>
      </c>
      <c r="U78">
        <f>+U77*(1-Probs_Mujeres!U77)</f>
        <v>73829.240625768492</v>
      </c>
      <c r="V78">
        <f>+V77*(1-Probs_Mujeres!V77)</f>
        <v>73829.266211922077</v>
      </c>
      <c r="W78">
        <f>+W77*(1-Probs_Mujeres!W77)</f>
        <v>73829.283498909892</v>
      </c>
      <c r="X78">
        <f>+X77*(1-Probs_Mujeres!X77)</f>
        <v>73829.295178666696</v>
      </c>
      <c r="Y78">
        <f>+Y77*(1-Probs_Mujeres!Y77)</f>
        <v>73829.303069963542</v>
      </c>
      <c r="Z78">
        <f>+Z77*(1-Probs_Mujeres!Z77)</f>
        <v>73829.30840163074</v>
      </c>
      <c r="AA78">
        <f>+AA77*(1-Probs_Mujeres!AA77)</f>
        <v>73829.312003912899</v>
      </c>
      <c r="AB78">
        <f>+AB77*(1-Probs_Mujeres!AB77)</f>
        <v>73829.31443775534</v>
      </c>
      <c r="AC78">
        <f>+AC77*(1-Probs_Mujeres!AC77)</f>
        <v>73829.316082154255</v>
      </c>
      <c r="AD78">
        <f>+AD77*(1-Probs_Mujeres!AD77)</f>
        <v>73829.317193174589</v>
      </c>
      <c r="AE78">
        <f>+AE77*(1-Probs_Mujeres!AE77)</f>
        <v>73829.317943823306</v>
      </c>
      <c r="AF78">
        <f>+AF77*(1-Probs_Mujeres!AF77)</f>
        <v>73829.318450990977</v>
      </c>
      <c r="AG78">
        <f>+AG77*(1-Probs_Mujeres!AG77)</f>
        <v>73829.318793653249</v>
      </c>
      <c r="AH78">
        <f>+AH77*(1-Probs_Mujeres!AH77)</f>
        <v>73829.319025169316</v>
      </c>
    </row>
    <row r="79" spans="1:34" x14ac:dyDescent="0.25">
      <c r="A79">
        <f>+Probs_Hombres!A79</f>
        <v>77</v>
      </c>
      <c r="B79">
        <f>+B78*(1-Probs_Mujeres!B78)</f>
        <v>71625.37327777782</v>
      </c>
      <c r="C79">
        <f>+C78*(1-Probs_Mujeres!C78)</f>
        <v>71669.109235806565</v>
      </c>
      <c r="D79">
        <f>+D78*(1-Probs_Mujeres!D78)</f>
        <v>71698.60476917401</v>
      </c>
      <c r="E79">
        <f>+E78*(1-Probs_Mujeres!E78)</f>
        <v>71718.508431758804</v>
      </c>
      <c r="F79">
        <f>+F78*(1-Probs_Mujeres!F78)</f>
        <v>71731.944881277159</v>
      </c>
      <c r="G79">
        <f>+G78*(1-Probs_Mujeres!G78)</f>
        <v>71741.017945734668</v>
      </c>
      <c r="H79">
        <f>+H78*(1-Probs_Mujeres!H78)</f>
        <v>71747.14572473921</v>
      </c>
      <c r="I79">
        <f>+I78*(1-Probs_Mujeres!I78)</f>
        <v>71751.284825152383</v>
      </c>
      <c r="J79">
        <f>+J78*(1-Probs_Mujeres!J78)</f>
        <v>71754.080876524429</v>
      </c>
      <c r="K79">
        <f>+K78*(1-Probs_Mujeres!K78)</f>
        <v>71755.969776065627</v>
      </c>
      <c r="L79">
        <f>+L78*(1-Probs_Mujeres!L78)</f>
        <v>71757.245889106387</v>
      </c>
      <c r="M79">
        <f>+M78*(1-Probs_Mujeres!M78)</f>
        <v>71758.108034728648</v>
      </c>
      <c r="N79">
        <f>+N78*(1-Probs_Mujeres!N78)</f>
        <v>71758.690512921792</v>
      </c>
      <c r="O79">
        <f>+O78*(1-Probs_Mujeres!O78)</f>
        <v>71759.084048339151</v>
      </c>
      <c r="P79">
        <f>+P78*(1-Probs_Mujeres!P78)</f>
        <v>71759.349931865232</v>
      </c>
      <c r="Q79">
        <f>+Q78*(1-Probs_Mujeres!Q78)</f>
        <v>71759.529571170628</v>
      </c>
      <c r="R79">
        <f>+R78*(1-Probs_Mujeres!R78)</f>
        <v>71759.650941597865</v>
      </c>
      <c r="S79">
        <f>+S78*(1-Probs_Mujeres!S78)</f>
        <v>71759.732943789422</v>
      </c>
      <c r="T79">
        <f>+T78*(1-Probs_Mujeres!T78)</f>
        <v>71759.788347487745</v>
      </c>
      <c r="U79">
        <f>+U78*(1-Probs_Mujeres!U78)</f>
        <v>71759.825780307307</v>
      </c>
      <c r="V79">
        <f>+V78*(1-Probs_Mujeres!V78)</f>
        <v>71759.851071345212</v>
      </c>
      <c r="W79">
        <f>+W78*(1-Probs_Mujeres!W78)</f>
        <v>71759.868158941958</v>
      </c>
      <c r="X79">
        <f>+X78*(1-Probs_Mujeres!X78)</f>
        <v>71759.87970398266</v>
      </c>
      <c r="Y79">
        <f>+Y78*(1-Probs_Mujeres!Y78)</f>
        <v>71759.887504260172</v>
      </c>
      <c r="Z79">
        <f>+Z78*(1-Probs_Mujeres!Z78)</f>
        <v>71759.892774431195</v>
      </c>
      <c r="AA79">
        <f>+AA78*(1-Probs_Mujeres!AA78)</f>
        <v>71759.896335164172</v>
      </c>
      <c r="AB79">
        <f>+AB78*(1-Probs_Mujeres!AB78)</f>
        <v>71759.898740934368</v>
      </c>
      <c r="AC79">
        <f>+AC78*(1-Probs_Mujeres!AC78)</f>
        <v>71759.900366366579</v>
      </c>
      <c r="AD79">
        <f>+AD78*(1-Probs_Mujeres!AD78)</f>
        <v>71759.901464572264</v>
      </c>
      <c r="AE79">
        <f>+AE78*(1-Probs_Mujeres!AE78)</f>
        <v>71759.902206562911</v>
      </c>
      <c r="AF79">
        <f>+AF78*(1-Probs_Mujeres!AF78)</f>
        <v>71759.902707880843</v>
      </c>
      <c r="AG79">
        <f>+AG78*(1-Probs_Mujeres!AG78)</f>
        <v>71759.903046590814</v>
      </c>
      <c r="AH79">
        <f>+AH78*(1-Probs_Mujeres!AH78)</f>
        <v>71759.903275436547</v>
      </c>
    </row>
    <row r="80" spans="1:34" x14ac:dyDescent="0.25">
      <c r="A80">
        <f>+Probs_Hombres!A80</f>
        <v>78</v>
      </c>
      <c r="B80">
        <f>+B79*(1-Probs_Mujeres!B79)</f>
        <v>69369.282048843626</v>
      </c>
      <c r="C80">
        <f>+C79*(1-Probs_Mujeres!C79)</f>
        <v>69410.798391792618</v>
      </c>
      <c r="D80">
        <f>+D79*(1-Probs_Mujeres!D79)</f>
        <v>69438.795217655555</v>
      </c>
      <c r="E80">
        <f>+E79*(1-Probs_Mujeres!E79)</f>
        <v>69457.686727547305</v>
      </c>
      <c r="F80">
        <f>+F79*(1-Probs_Mujeres!F79)</f>
        <v>69470.439524176327</v>
      </c>
      <c r="G80">
        <f>+G79*(1-Probs_Mujeres!G79)</f>
        <v>69479.050775809577</v>
      </c>
      <c r="H80">
        <f>+H79*(1-Probs_Mujeres!H79)</f>
        <v>69484.866576956236</v>
      </c>
      <c r="I80">
        <f>+I79*(1-Probs_Mujeres!I79)</f>
        <v>69488.794911603429</v>
      </c>
      <c r="J80">
        <f>+J79*(1-Probs_Mujeres!J79)</f>
        <v>69491.448569900676</v>
      </c>
      <c r="K80">
        <f>+K79*(1-Probs_Mujeres!K79)</f>
        <v>69493.241266998361</v>
      </c>
      <c r="L80">
        <f>+L79*(1-Probs_Mujeres!L79)</f>
        <v>69494.452383678989</v>
      </c>
      <c r="M80">
        <f>+M79*(1-Probs_Mujeres!M79)</f>
        <v>69495.270616027163</v>
      </c>
      <c r="N80">
        <f>+N79*(1-Probs_Mujeres!N79)</f>
        <v>69495.823425063747</v>
      </c>
      <c r="O80">
        <f>+O79*(1-Probs_Mujeres!O79)</f>
        <v>69496.196915006716</v>
      </c>
      <c r="P80">
        <f>+P79*(1-Probs_Mujeres!P79)</f>
        <v>69496.449255102925</v>
      </c>
      <c r="Q80">
        <f>+Q79*(1-Probs_Mujeres!Q79)</f>
        <v>69496.619743972275</v>
      </c>
      <c r="R80">
        <f>+R79*(1-Probs_Mujeres!R79)</f>
        <v>69496.734932022911</v>
      </c>
      <c r="S80">
        <f>+S79*(1-Probs_Mujeres!S79)</f>
        <v>69496.812757166219</v>
      </c>
      <c r="T80">
        <f>+T79*(1-Probs_Mujeres!T79)</f>
        <v>69496.865338690652</v>
      </c>
      <c r="U80">
        <f>+U79*(1-Probs_Mujeres!U79)</f>
        <v>69496.900864740601</v>
      </c>
      <c r="V80">
        <f>+V79*(1-Probs_Mujeres!V79)</f>
        <v>69496.924867491034</v>
      </c>
      <c r="W80">
        <f>+W79*(1-Probs_Mujeres!W79)</f>
        <v>69496.941084670674</v>
      </c>
      <c r="X80">
        <f>+X79*(1-Probs_Mujeres!X79)</f>
        <v>69496.952041623663</v>
      </c>
      <c r="Y80">
        <f>+Y79*(1-Probs_Mujeres!Y79)</f>
        <v>69496.959444566179</v>
      </c>
      <c r="Z80">
        <f>+Z79*(1-Probs_Mujeres!Z79)</f>
        <v>69496.964446282145</v>
      </c>
      <c r="AA80">
        <f>+AA79*(1-Probs_Mujeres!AA79)</f>
        <v>69496.967825636399</v>
      </c>
      <c r="AB80">
        <f>+AB79*(1-Probs_Mujeres!AB79)</f>
        <v>69496.970108860041</v>
      </c>
      <c r="AC80">
        <f>+AC79*(1-Probs_Mujeres!AC79)</f>
        <v>69496.971651494998</v>
      </c>
      <c r="AD80">
        <f>+AD79*(1-Probs_Mujeres!AD79)</f>
        <v>69496.972693759628</v>
      </c>
      <c r="AE80">
        <f>+AE79*(1-Probs_Mujeres!AE79)</f>
        <v>69496.973397954309</v>
      </c>
      <c r="AF80">
        <f>+AF79*(1-Probs_Mujeres!AF79)</f>
        <v>69496.973873735813</v>
      </c>
      <c r="AG80">
        <f>+AG79*(1-Probs_Mujeres!AG79)</f>
        <v>69496.974195192364</v>
      </c>
      <c r="AH80">
        <f>+AH79*(1-Probs_Mujeres!AH79)</f>
        <v>69496.974412381009</v>
      </c>
    </row>
    <row r="81" spans="1:34" x14ac:dyDescent="0.25">
      <c r="A81">
        <f>+Probs_Hombres!A81</f>
        <v>79</v>
      </c>
      <c r="B81">
        <f>+B80*(1-Probs_Mujeres!B80)</f>
        <v>66944.712781670387</v>
      </c>
      <c r="C81">
        <f>+C80*(1-Probs_Mujeres!C80)</f>
        <v>66983.187381518277</v>
      </c>
      <c r="D81">
        <f>+D80*(1-Probs_Mujeres!D80)</f>
        <v>67009.129292381011</v>
      </c>
      <c r="E81">
        <f>+E80*(1-Probs_Mujeres!E80)</f>
        <v>67026.632513726989</v>
      </c>
      <c r="F81">
        <f>+F80*(1-Probs_Mujeres!F80)</f>
        <v>67038.447370042515</v>
      </c>
      <c r="G81">
        <f>+G80*(1-Probs_Mujeres!G80)</f>
        <v>67046.424931420232</v>
      </c>
      <c r="H81">
        <f>+H80*(1-Probs_Mujeres!H80)</f>
        <v>67051.812595228985</v>
      </c>
      <c r="I81">
        <f>+I80*(1-Probs_Mujeres!I80)</f>
        <v>67055.451667447851</v>
      </c>
      <c r="J81">
        <f>+J80*(1-Probs_Mujeres!J80)</f>
        <v>67057.909890510389</v>
      </c>
      <c r="K81">
        <f>+K80*(1-Probs_Mujeres!K80)</f>
        <v>67059.570544727569</v>
      </c>
      <c r="L81">
        <f>+L80*(1-Probs_Mujeres!L80)</f>
        <v>67060.692448441201</v>
      </c>
      <c r="M81">
        <f>+M80*(1-Probs_Mujeres!M80)</f>
        <v>67061.450405186639</v>
      </c>
      <c r="N81">
        <f>+N80*(1-Probs_Mujeres!N80)</f>
        <v>67061.962489744314</v>
      </c>
      <c r="O81">
        <f>+O80*(1-Probs_Mujeres!O80)</f>
        <v>67062.308464670845</v>
      </c>
      <c r="P81">
        <f>+P80*(1-Probs_Mujeres!P80)</f>
        <v>67062.542214561254</v>
      </c>
      <c r="Q81">
        <f>+Q80*(1-Probs_Mujeres!Q80)</f>
        <v>67062.700143167414</v>
      </c>
      <c r="R81">
        <f>+R80*(1-Probs_Mujeres!R80)</f>
        <v>67062.806845016064</v>
      </c>
      <c r="S81">
        <f>+S80*(1-Probs_Mujeres!S80)</f>
        <v>67062.87893655074</v>
      </c>
      <c r="T81">
        <f>+T80*(1-Probs_Mujeres!T80)</f>
        <v>67062.927644225507</v>
      </c>
      <c r="U81">
        <f>+U80*(1-Probs_Mujeres!U80)</f>
        <v>67062.960552951336</v>
      </c>
      <c r="V81">
        <f>+V80*(1-Probs_Mujeres!V80)</f>
        <v>67062.982787335321</v>
      </c>
      <c r="W81">
        <f>+W80*(1-Probs_Mujeres!W80)</f>
        <v>67062.99780973747</v>
      </c>
      <c r="X81">
        <f>+X80*(1-Probs_Mujeres!X80)</f>
        <v>67063.007959452036</v>
      </c>
      <c r="Y81">
        <f>+Y80*(1-Probs_Mujeres!Y80)</f>
        <v>67063.014816992712</v>
      </c>
      <c r="Z81">
        <f>+Z80*(1-Probs_Mujeres!Z80)</f>
        <v>67063.019450213862</v>
      </c>
      <c r="AA81">
        <f>+AA80*(1-Probs_Mujeres!AA80)</f>
        <v>67063.022580598583</v>
      </c>
      <c r="AB81">
        <f>+AB80*(1-Probs_Mujeres!AB80)</f>
        <v>67063.024695608678</v>
      </c>
      <c r="AC81">
        <f>+AC80*(1-Probs_Mujeres!AC80)</f>
        <v>67063.026124591983</v>
      </c>
      <c r="AD81">
        <f>+AD80*(1-Probs_Mujeres!AD80)</f>
        <v>67063.02709006911</v>
      </c>
      <c r="AE81">
        <f>+AE80*(1-Probs_Mujeres!AE80)</f>
        <v>67063.027742383143</v>
      </c>
      <c r="AF81">
        <f>+AF80*(1-Probs_Mujeres!AF80)</f>
        <v>67063.028183112052</v>
      </c>
      <c r="AG81">
        <f>+AG80*(1-Probs_Mujeres!AG80)</f>
        <v>67063.02848088571</v>
      </c>
      <c r="AH81">
        <f>+AH80*(1-Probs_Mujeres!AH80)</f>
        <v>67063.028682073244</v>
      </c>
    </row>
    <row r="82" spans="1:34" x14ac:dyDescent="0.25">
      <c r="A82">
        <f>+Probs_Hombres!A82</f>
        <v>80</v>
      </c>
      <c r="B82">
        <f>+B81*(1-Probs_Mujeres!B81)</f>
        <v>64370.546610486694</v>
      </c>
      <c r="C82">
        <f>+C81*(1-Probs_Mujeres!C81)</f>
        <v>64405.864812038286</v>
      </c>
      <c r="D82">
        <f>+D81*(1-Probs_Mujeres!D81)</f>
        <v>64429.67448157609</v>
      </c>
      <c r="E82">
        <f>+E81*(1-Probs_Mujeres!E81)</f>
        <v>64445.737233171458</v>
      </c>
      <c r="F82">
        <f>+F81*(1-Probs_Mujeres!F81)</f>
        <v>64456.578922471032</v>
      </c>
      <c r="G82">
        <f>+G81*(1-Probs_Mujeres!G81)</f>
        <v>64463.899006269261</v>
      </c>
      <c r="H82">
        <f>+H81*(1-Probs_Mujeres!H81)</f>
        <v>64468.84246712373</v>
      </c>
      <c r="I82">
        <f>+I81*(1-Probs_Mujeres!I81)</f>
        <v>64472.181425107497</v>
      </c>
      <c r="J82">
        <f>+J81*(1-Probs_Mujeres!J81)</f>
        <v>64474.436882286216</v>
      </c>
      <c r="K82">
        <f>+K81*(1-Probs_Mujeres!K81)</f>
        <v>64475.960541322907</v>
      </c>
      <c r="L82">
        <f>+L81*(1-Probs_Mujeres!L81)</f>
        <v>64476.989886363604</v>
      </c>
      <c r="M82">
        <f>+M81*(1-Probs_Mujeres!M81)</f>
        <v>64477.685307135915</v>
      </c>
      <c r="N82">
        <f>+N81*(1-Probs_Mujeres!N81)</f>
        <v>64478.155140074537</v>
      </c>
      <c r="O82">
        <f>+O81*(1-Probs_Mujeres!O81)</f>
        <v>64478.472568213881</v>
      </c>
      <c r="P82">
        <f>+P81*(1-Probs_Mujeres!P81)</f>
        <v>64478.687030805166</v>
      </c>
      <c r="Q82">
        <f>+Q81*(1-Probs_Mujeres!Q81)</f>
        <v>64478.831928169777</v>
      </c>
      <c r="R82">
        <f>+R81*(1-Probs_Mujeres!R81)</f>
        <v>64478.929825607411</v>
      </c>
      <c r="S82">
        <f>+S81*(1-Probs_Mujeres!S81)</f>
        <v>64478.995968540054</v>
      </c>
      <c r="T82">
        <f>+T81*(1-Probs_Mujeres!T81)</f>
        <v>64479.040657107704</v>
      </c>
      <c r="U82">
        <f>+U81*(1-Probs_Mujeres!U81)</f>
        <v>64479.070850368014</v>
      </c>
      <c r="V82">
        <f>+V81*(1-Probs_Mujeres!V81)</f>
        <v>64479.091250077494</v>
      </c>
      <c r="W82">
        <f>+W81*(1-Probs_Mujeres!W81)</f>
        <v>64479.105032901854</v>
      </c>
      <c r="X82">
        <f>+X81*(1-Probs_Mujeres!X81)</f>
        <v>64479.114345109214</v>
      </c>
      <c r="Y82">
        <f>+Y81*(1-Probs_Mujeres!Y81)</f>
        <v>64479.12063679727</v>
      </c>
      <c r="Z82">
        <f>+Z81*(1-Probs_Mujeres!Z81)</f>
        <v>64479.124887706261</v>
      </c>
      <c r="AA82">
        <f>+AA81*(1-Probs_Mujeres!AA81)</f>
        <v>64479.12775978593</v>
      </c>
      <c r="AB82">
        <f>+AB81*(1-Probs_Mujeres!AB81)</f>
        <v>64479.129700275014</v>
      </c>
      <c r="AC82">
        <f>+AC81*(1-Probs_Mujeres!AC81)</f>
        <v>64479.131011345111</v>
      </c>
      <c r="AD82">
        <f>+AD81*(1-Probs_Mujeres!AD81)</f>
        <v>64479.131897155457</v>
      </c>
      <c r="AE82">
        <f>+AE81*(1-Probs_Mujeres!AE81)</f>
        <v>64479.132495643491</v>
      </c>
      <c r="AF82">
        <f>+AF81*(1-Probs_Mujeres!AF81)</f>
        <v>64479.132900005454</v>
      </c>
      <c r="AG82">
        <f>+AG81*(1-Probs_Mujeres!AG81)</f>
        <v>64479.133173208174</v>
      </c>
      <c r="AH82">
        <f>+AH81*(1-Probs_Mujeres!AH81)</f>
        <v>64479.133357794628</v>
      </c>
    </row>
    <row r="83" spans="1:34" x14ac:dyDescent="0.25">
      <c r="A83">
        <f>+Probs_Hombres!A83</f>
        <v>81</v>
      </c>
      <c r="B83">
        <f>+B82*(1-Probs_Mujeres!B82)</f>
        <v>61662.182688294582</v>
      </c>
      <c r="C83">
        <f>+C82*(1-Probs_Mujeres!C82)</f>
        <v>61694.024016005547</v>
      </c>
      <c r="D83">
        <f>+D82*(1-Probs_Mujeres!D82)</f>
        <v>61715.484746774171</v>
      </c>
      <c r="E83">
        <f>+E82*(1-Probs_Mujeres!E82)</f>
        <v>61729.9605409828</v>
      </c>
      <c r="F83">
        <f>+F82*(1-Probs_Mujeres!F82)</f>
        <v>61739.730054709784</v>
      </c>
      <c r="G83">
        <f>+G82*(1-Probs_Mujeres!G82)</f>
        <v>61746.325750539647</v>
      </c>
      <c r="H83">
        <f>+H82*(1-Probs_Mujeres!H82)</f>
        <v>61750.779793706126</v>
      </c>
      <c r="I83">
        <f>+I82*(1-Probs_Mujeres!I82)</f>
        <v>61753.788085207314</v>
      </c>
      <c r="J83">
        <f>+J82*(1-Probs_Mujeres!J82)</f>
        <v>61755.820132654284</v>
      </c>
      <c r="K83">
        <f>+K82*(1-Probs_Mujeres!K82)</f>
        <v>61757.192848009588</v>
      </c>
      <c r="L83">
        <f>+L82*(1-Probs_Mujeres!L82)</f>
        <v>61758.120209900495</v>
      </c>
      <c r="M83">
        <f>+M82*(1-Probs_Mujeres!M82)</f>
        <v>61758.746727006474</v>
      </c>
      <c r="N83">
        <f>+N82*(1-Probs_Mujeres!N82)</f>
        <v>61759.17000599586</v>
      </c>
      <c r="O83">
        <f>+O82*(1-Probs_Mujeres!O82)</f>
        <v>61759.455980494567</v>
      </c>
      <c r="P83">
        <f>+P82*(1-Probs_Mujeres!P82)</f>
        <v>61759.649191788718</v>
      </c>
      <c r="Q83">
        <f>+Q82*(1-Probs_Mujeres!Q82)</f>
        <v>61759.779730951464</v>
      </c>
      <c r="R83">
        <f>+R82*(1-Probs_Mujeres!R82)</f>
        <v>61759.867927428815</v>
      </c>
      <c r="S83">
        <f>+S82*(1-Probs_Mujeres!S82)</f>
        <v>61759.92751601433</v>
      </c>
      <c r="T83">
        <f>+T82*(1-Probs_Mujeres!T82)</f>
        <v>61759.96777620916</v>
      </c>
      <c r="U83">
        <f>+U82*(1-Probs_Mujeres!U82)</f>
        <v>61759.99497748776</v>
      </c>
      <c r="V83">
        <f>+V82*(1-Probs_Mujeres!V82)</f>
        <v>61760.013355697432</v>
      </c>
      <c r="W83">
        <f>+W82*(1-Probs_Mujeres!W82)</f>
        <v>61760.025772717461</v>
      </c>
      <c r="X83">
        <f>+X82*(1-Probs_Mujeres!X82)</f>
        <v>61760.034162134005</v>
      </c>
      <c r="Y83">
        <f>+Y82*(1-Probs_Mujeres!Y82)</f>
        <v>61760.039830348484</v>
      </c>
      <c r="Z83">
        <f>+Z82*(1-Probs_Mujeres!Z82)</f>
        <v>61760.043660014322</v>
      </c>
      <c r="AA83">
        <f>+AA82*(1-Probs_Mujeres!AA82)</f>
        <v>61760.046247485647</v>
      </c>
      <c r="AB83">
        <f>+AB82*(1-Probs_Mujeres!AB82)</f>
        <v>61760.047995682187</v>
      </c>
      <c r="AC83">
        <f>+AC82*(1-Probs_Mujeres!AC82)</f>
        <v>61760.049176831926</v>
      </c>
      <c r="AD83">
        <f>+AD82*(1-Probs_Mujeres!AD82)</f>
        <v>61760.049974862988</v>
      </c>
      <c r="AE83">
        <f>+AE82*(1-Probs_Mujeres!AE82)</f>
        <v>61760.050514043913</v>
      </c>
      <c r="AF83">
        <f>+AF82*(1-Probs_Mujeres!AF82)</f>
        <v>61760.050878335664</v>
      </c>
      <c r="AG83">
        <f>+AG82*(1-Probs_Mujeres!AG82)</f>
        <v>61760.051124465375</v>
      </c>
      <c r="AH83">
        <f>+AH82*(1-Probs_Mujeres!AH82)</f>
        <v>61760.051290760253</v>
      </c>
    </row>
    <row r="84" spans="1:34" x14ac:dyDescent="0.25">
      <c r="A84">
        <f>+Probs_Hombres!A84</f>
        <v>82</v>
      </c>
      <c r="B84">
        <f>+B83*(1-Probs_Mujeres!B83)</f>
        <v>58746.517350297305</v>
      </c>
      <c r="C84">
        <f>+C83*(1-Probs_Mujeres!C83)</f>
        <v>58772.395448244199</v>
      </c>
      <c r="D84">
        <f>+D83*(1-Probs_Mujeres!D83)</f>
        <v>58789.82330970082</v>
      </c>
      <c r="E84">
        <f>+E83*(1-Probs_Mujeres!E83)</f>
        <v>58801.572566702125</v>
      </c>
      <c r="F84">
        <f>+F83*(1-Probs_Mujeres!F83)</f>
        <v>58809.499115076789</v>
      </c>
      <c r="G84">
        <f>+G83*(1-Probs_Mujeres!G83)</f>
        <v>58814.849261332783</v>
      </c>
      <c r="H84">
        <f>+H83*(1-Probs_Mujeres!H83)</f>
        <v>58818.461593458895</v>
      </c>
      <c r="I84">
        <f>+I83*(1-Probs_Mujeres!I83)</f>
        <v>58820.901114869288</v>
      </c>
      <c r="J84">
        <f>+J83*(1-Probs_Mujeres!J83)</f>
        <v>58822.54884374918</v>
      </c>
      <c r="K84">
        <f>+K83*(1-Probs_Mujeres!K83)</f>
        <v>58823.661882353925</v>
      </c>
      <c r="L84">
        <f>+L83*(1-Probs_Mujeres!L83)</f>
        <v>58824.413789125952</v>
      </c>
      <c r="M84">
        <f>+M83*(1-Probs_Mujeres!M83)</f>
        <v>58824.921758534743</v>
      </c>
      <c r="N84">
        <f>+N83*(1-Probs_Mujeres!N83)</f>
        <v>58825.264940530229</v>
      </c>
      <c r="O84">
        <f>+O83*(1-Probs_Mujeres!O83)</f>
        <v>58825.496797666703</v>
      </c>
      <c r="P84">
        <f>+P83*(1-Probs_Mujeres!P83)</f>
        <v>58825.653444834199</v>
      </c>
      <c r="Q84">
        <f>+Q83*(1-Probs_Mujeres!Q83)</f>
        <v>58825.759279696518</v>
      </c>
      <c r="R84">
        <f>+R83*(1-Probs_Mujeres!R83)</f>
        <v>58825.830784915277</v>
      </c>
      <c r="S84">
        <f>+S83*(1-Probs_Mujeres!S83)</f>
        <v>58825.879096202974</v>
      </c>
      <c r="T84">
        <f>+T83*(1-Probs_Mujeres!T83)</f>
        <v>58825.911737000228</v>
      </c>
      <c r="U84">
        <f>+U83*(1-Probs_Mujeres!U83)</f>
        <v>58825.93379030934</v>
      </c>
      <c r="V84">
        <f>+V83*(1-Probs_Mujeres!V83)</f>
        <v>58825.948690346479</v>
      </c>
      <c r="W84">
        <f>+W83*(1-Probs_Mujeres!W83)</f>
        <v>58825.958757375716</v>
      </c>
      <c r="X84">
        <f>+X83*(1-Probs_Mujeres!X83)</f>
        <v>58825.965559045922</v>
      </c>
      <c r="Y84">
        <f>+Y83*(1-Probs_Mujeres!Y83)</f>
        <v>58825.970154516559</v>
      </c>
      <c r="Z84">
        <f>+Z83*(1-Probs_Mujeres!Z83)</f>
        <v>58825.973259394559</v>
      </c>
      <c r="AA84">
        <f>+AA83*(1-Probs_Mujeres!AA83)</f>
        <v>58825.975357170806</v>
      </c>
      <c r="AB84">
        <f>+AB83*(1-Probs_Mujeres!AB83)</f>
        <v>58825.976774510149</v>
      </c>
      <c r="AC84">
        <f>+AC83*(1-Probs_Mujeres!AC83)</f>
        <v>58825.97773211982</v>
      </c>
      <c r="AD84">
        <f>+AD83*(1-Probs_Mujeres!AD83)</f>
        <v>58825.978379118453</v>
      </c>
      <c r="AE84">
        <f>+AE83*(1-Probs_Mujeres!AE83)</f>
        <v>58825.978816255956</v>
      </c>
      <c r="AF84">
        <f>+AF83*(1-Probs_Mujeres!AF83)</f>
        <v>58825.97911160317</v>
      </c>
      <c r="AG84">
        <f>+AG83*(1-Probs_Mujeres!AG83)</f>
        <v>58825.979311151263</v>
      </c>
      <c r="AH84">
        <f>+AH83*(1-Probs_Mujeres!AH83)</f>
        <v>58825.979445973768</v>
      </c>
    </row>
    <row r="85" spans="1:34" x14ac:dyDescent="0.25">
      <c r="A85">
        <f>+Probs_Hombres!A85</f>
        <v>83</v>
      </c>
      <c r="B85">
        <f>+B84*(1-Probs_Mujeres!B84)</f>
        <v>55574.404852654552</v>
      </c>
      <c r="C85">
        <f>+C84*(1-Probs_Mujeres!C84)</f>
        <v>55591.233221720402</v>
      </c>
      <c r="D85">
        <f>+D84*(1-Probs_Mujeres!D84)</f>
        <v>55602.535820320991</v>
      </c>
      <c r="E85">
        <f>+E84*(1-Probs_Mujeres!E84)</f>
        <v>55610.141621455994</v>
      </c>
      <c r="F85">
        <f>+F84*(1-Probs_Mujeres!F84)</f>
        <v>55615.266409379321</v>
      </c>
      <c r="G85">
        <f>+G84*(1-Probs_Mujeres!G84)</f>
        <v>55618.722535350549</v>
      </c>
      <c r="H85">
        <f>+H84*(1-Probs_Mujeres!H84)</f>
        <v>55621.054717702136</v>
      </c>
      <c r="I85">
        <f>+I84*(1-Probs_Mujeres!I84)</f>
        <v>55622.629102677856</v>
      </c>
      <c r="J85">
        <f>+J84*(1-Probs_Mujeres!J84)</f>
        <v>55623.692212379523</v>
      </c>
      <c r="K85">
        <f>+K84*(1-Probs_Mujeres!K84)</f>
        <v>55624.410214123462</v>
      </c>
      <c r="L85">
        <f>+L84*(1-Probs_Mujeres!L84)</f>
        <v>55624.895197867954</v>
      </c>
      <c r="M85">
        <f>+M84*(1-Probs_Mujeres!M84)</f>
        <v>55625.222814199733</v>
      </c>
      <c r="N85">
        <f>+N84*(1-Probs_Mujeres!N84)</f>
        <v>55625.444138291889</v>
      </c>
      <c r="O85">
        <f>+O84*(1-Probs_Mujeres!O84)</f>
        <v>55625.593661494175</v>
      </c>
      <c r="P85">
        <f>+P84*(1-Probs_Mujeres!P84)</f>
        <v>55625.694679736269</v>
      </c>
      <c r="Q85">
        <f>+Q84*(1-Probs_Mujeres!Q84)</f>
        <v>55625.762929109966</v>
      </c>
      <c r="R85">
        <f>+R84*(1-Probs_Mujeres!R84)</f>
        <v>55625.809039914762</v>
      </c>
      <c r="S85">
        <f>+S84*(1-Probs_Mujeres!S84)</f>
        <v>55625.840193657255</v>
      </c>
      <c r="T85">
        <f>+T84*(1-Probs_Mujeres!T84)</f>
        <v>55625.861242106563</v>
      </c>
      <c r="U85">
        <f>+U84*(1-Probs_Mujeres!U84)</f>
        <v>55625.87546315397</v>
      </c>
      <c r="V85">
        <f>+V84*(1-Probs_Mujeres!V84)</f>
        <v>55625.88507140048</v>
      </c>
      <c r="W85">
        <f>+W84*(1-Probs_Mujeres!W84)</f>
        <v>55625.891563085184</v>
      </c>
      <c r="X85">
        <f>+X84*(1-Probs_Mujeres!X84)</f>
        <v>55625.895949111022</v>
      </c>
      <c r="Y85">
        <f>+Y84*(1-Probs_Mujeres!Y84)</f>
        <v>55625.898912477009</v>
      </c>
      <c r="Z85">
        <f>+Z84*(1-Probs_Mujeres!Z84)</f>
        <v>55625.900914640886</v>
      </c>
      <c r="AA85">
        <f>+AA84*(1-Probs_Mujeres!AA84)</f>
        <v>55625.902267380166</v>
      </c>
      <c r="AB85">
        <f>+AB84*(1-Probs_Mujeres!AB84)</f>
        <v>55625.903181343303</v>
      </c>
      <c r="AC85">
        <f>+AC84*(1-Probs_Mujeres!AC84)</f>
        <v>55625.903798852276</v>
      </c>
      <c r="AD85">
        <f>+AD84*(1-Probs_Mujeres!AD84)</f>
        <v>55625.904216065544</v>
      </c>
      <c r="AE85">
        <f>+AE84*(1-Probs_Mujeres!AE84)</f>
        <v>55625.904497951065</v>
      </c>
      <c r="AF85">
        <f>+AF84*(1-Probs_Mujeres!AF84)</f>
        <v>55625.904688403964</v>
      </c>
      <c r="AG85">
        <f>+AG84*(1-Probs_Mujeres!AG84)</f>
        <v>55625.904817081348</v>
      </c>
      <c r="AH85">
        <f>+AH84*(1-Probs_Mujeres!AH84)</f>
        <v>55625.904904020827</v>
      </c>
    </row>
    <row r="86" spans="1:34" x14ac:dyDescent="0.25">
      <c r="A86">
        <f>+Probs_Hombres!A86</f>
        <v>84</v>
      </c>
      <c r="B86">
        <f>+B85*(1-Probs_Mujeres!B85)</f>
        <v>52149.177935309752</v>
      </c>
      <c r="C86">
        <f>+C85*(1-Probs_Mujeres!C85)</f>
        <v>52154.938779207725</v>
      </c>
      <c r="D86">
        <f>+D85*(1-Probs_Mujeres!D85)</f>
        <v>52158.748367024695</v>
      </c>
      <c r="E86">
        <f>+E85*(1-Probs_Mujeres!E85)</f>
        <v>52161.284576647136</v>
      </c>
      <c r="F86">
        <f>+F85*(1-Probs_Mujeres!F85)</f>
        <v>52162.980942555107</v>
      </c>
      <c r="G86">
        <f>+G85*(1-Probs_Mujeres!G85)</f>
        <v>52164.11922730325</v>
      </c>
      <c r="H86">
        <f>+H85*(1-Probs_Mujeres!H85)</f>
        <v>52164.884716317509</v>
      </c>
      <c r="I86">
        <f>+I85*(1-Probs_Mujeres!I85)</f>
        <v>52165.400276440734</v>
      </c>
      <c r="J86">
        <f>+J85*(1-Probs_Mujeres!J85)</f>
        <v>52165.747863142038</v>
      </c>
      <c r="K86">
        <f>+K85*(1-Probs_Mujeres!K85)</f>
        <v>52165.982365860291</v>
      </c>
      <c r="L86">
        <f>+L85*(1-Probs_Mujeres!L85)</f>
        <v>52166.140649667796</v>
      </c>
      <c r="M86">
        <f>+M85*(1-Probs_Mujeres!M85)</f>
        <v>52166.247521464458</v>
      </c>
      <c r="N86">
        <f>+N85*(1-Probs_Mujeres!N85)</f>
        <v>52166.319695851125</v>
      </c>
      <c r="O86">
        <f>+O85*(1-Probs_Mujeres!O85)</f>
        <v>52166.368444909698</v>
      </c>
      <c r="P86">
        <f>+P85*(1-Probs_Mujeres!P85)</f>
        <v>52166.401374934023</v>
      </c>
      <c r="Q86">
        <f>+Q85*(1-Probs_Mujeres!Q85)</f>
        <v>52166.423620666916</v>
      </c>
      <c r="R86">
        <f>+R85*(1-Probs_Mujeres!R85)</f>
        <v>52166.438649348594</v>
      </c>
      <c r="S86">
        <f>+S85*(1-Probs_Mujeres!S85)</f>
        <v>52166.448802672254</v>
      </c>
      <c r="T86">
        <f>+T85*(1-Probs_Mujeres!T85)</f>
        <v>52166.455662361972</v>
      </c>
      <c r="U86">
        <f>+U85*(1-Probs_Mujeres!U85)</f>
        <v>52166.460296903118</v>
      </c>
      <c r="V86">
        <f>+V85*(1-Probs_Mujeres!V85)</f>
        <v>52166.463428119423</v>
      </c>
      <c r="W86">
        <f>+W85*(1-Probs_Mujeres!W85)</f>
        <v>52166.465543663842</v>
      </c>
      <c r="X86">
        <f>+X85*(1-Probs_Mujeres!X85)</f>
        <v>52166.466972995666</v>
      </c>
      <c r="Y86">
        <f>+Y85*(1-Probs_Mujeres!Y85)</f>
        <v>52166.467938702401</v>
      </c>
      <c r="Z86">
        <f>+Z85*(1-Probs_Mujeres!Z85)</f>
        <v>52166.468591169003</v>
      </c>
      <c r="AA86">
        <f>+AA85*(1-Probs_Mujeres!AA85)</f>
        <v>52166.469031999768</v>
      </c>
      <c r="AB86">
        <f>+AB85*(1-Probs_Mujeres!AB85)</f>
        <v>52166.469329841719</v>
      </c>
      <c r="AC86">
        <f>+AC85*(1-Probs_Mujeres!AC85)</f>
        <v>52166.469531075069</v>
      </c>
      <c r="AD86">
        <f>+AD85*(1-Probs_Mujeres!AD85)</f>
        <v>52166.469667036203</v>
      </c>
      <c r="AE86">
        <f>+AE85*(1-Probs_Mujeres!AE85)</f>
        <v>52166.469758896776</v>
      </c>
      <c r="AF86">
        <f>+AF85*(1-Probs_Mujeres!AF85)</f>
        <v>52166.469820961371</v>
      </c>
      <c r="AG86">
        <f>+AG85*(1-Probs_Mujeres!AG85)</f>
        <v>52166.469862894592</v>
      </c>
      <c r="AH86">
        <f>+AH85*(1-Probs_Mujeres!AH85)</f>
        <v>52166.469891226327</v>
      </c>
    </row>
    <row r="87" spans="1:34" x14ac:dyDescent="0.25">
      <c r="A87">
        <f>+Probs_Hombres!A87</f>
        <v>85</v>
      </c>
      <c r="B87">
        <f>+B86*(1-Probs_Mujeres!B86)</f>
        <v>48484.354937497621</v>
      </c>
      <c r="C87">
        <f>+C86*(1-Probs_Mujeres!C86)</f>
        <v>48478.117977127855</v>
      </c>
      <c r="D87">
        <f>+D86*(1-Probs_Mujeres!D86)</f>
        <v>48473.805778067988</v>
      </c>
      <c r="E87">
        <f>+E86*(1-Probs_Mujeres!E86)</f>
        <v>48470.847463989216</v>
      </c>
      <c r="F87">
        <f>+F86*(1-Probs_Mujeres!F86)</f>
        <v>48468.8282598769</v>
      </c>
      <c r="G87">
        <f>+G86*(1-Probs_Mujeres!G86)</f>
        <v>48467.454673866712</v>
      </c>
      <c r="H87">
        <f>+H86*(1-Probs_Mujeres!H86)</f>
        <v>48466.522366096549</v>
      </c>
      <c r="I87">
        <f>+I86*(1-Probs_Mujeres!I86)</f>
        <v>48465.890518452841</v>
      </c>
      <c r="J87">
        <f>+J86*(1-Probs_Mujeres!J86)</f>
        <v>48465.462730122461</v>
      </c>
      <c r="K87">
        <f>+K86*(1-Probs_Mujeres!K86)</f>
        <v>48465.173294555287</v>
      </c>
      <c r="L87">
        <f>+L86*(1-Probs_Mujeres!L86)</f>
        <v>48464.977555676545</v>
      </c>
      <c r="M87">
        <f>+M86*(1-Probs_Mujeres!M86)</f>
        <v>48464.845222435964</v>
      </c>
      <c r="N87">
        <f>+N86*(1-Probs_Mujeres!N86)</f>
        <v>48464.755774395824</v>
      </c>
      <c r="O87">
        <f>+O86*(1-Probs_Mujeres!O86)</f>
        <v>48464.69532221392</v>
      </c>
      <c r="P87">
        <f>+P86*(1-Probs_Mujeres!P86)</f>
        <v>48464.654470326721</v>
      </c>
      <c r="Q87">
        <f>+Q86*(1-Probs_Mujeres!Q86)</f>
        <v>48464.626865528546</v>
      </c>
      <c r="R87">
        <f>+R86*(1-Probs_Mujeres!R86)</f>
        <v>48464.608212973886</v>
      </c>
      <c r="S87">
        <f>+S86*(1-Probs_Mujeres!S86)</f>
        <v>48464.59560981446</v>
      </c>
      <c r="T87">
        <f>+T86*(1-Probs_Mujeres!T86)</f>
        <v>48464.587094278097</v>
      </c>
      <c r="U87">
        <f>+U86*(1-Probs_Mujeres!U86)</f>
        <v>48464.581340689452</v>
      </c>
      <c r="V87">
        <f>+V86*(1-Probs_Mujeres!V86)</f>
        <v>48464.577453267164</v>
      </c>
      <c r="W87">
        <f>+W86*(1-Probs_Mujeres!W86)</f>
        <v>48464.574826739408</v>
      </c>
      <c r="X87">
        <f>+X86*(1-Probs_Mujeres!X86)</f>
        <v>48464.573052139283</v>
      </c>
      <c r="Y87">
        <f>+Y86*(1-Probs_Mujeres!Y86)</f>
        <v>48464.571853143112</v>
      </c>
      <c r="Z87">
        <f>+Z86*(1-Probs_Mujeres!Z86)</f>
        <v>48464.571043051212</v>
      </c>
      <c r="AA87">
        <f>+AA86*(1-Probs_Mujeres!AA86)</f>
        <v>48464.57049572</v>
      </c>
      <c r="AB87">
        <f>+AB86*(1-Probs_Mujeres!AB86)</f>
        <v>48464.570125920938</v>
      </c>
      <c r="AC87">
        <f>+AC86*(1-Probs_Mujeres!AC86)</f>
        <v>48464.569876069851</v>
      </c>
      <c r="AD87">
        <f>+AD86*(1-Probs_Mujeres!AD86)</f>
        <v>48464.569707260664</v>
      </c>
      <c r="AE87">
        <f>+AE86*(1-Probs_Mujeres!AE86)</f>
        <v>48464.569593206463</v>
      </c>
      <c r="AF87">
        <f>+AF86*(1-Probs_Mujeres!AF86)</f>
        <v>48464.569516146978</v>
      </c>
      <c r="AG87">
        <f>+AG86*(1-Probs_Mujeres!AG86)</f>
        <v>48464.569464082524</v>
      </c>
      <c r="AH87">
        <f>+AH86*(1-Probs_Mujeres!AH86)</f>
        <v>48464.569428905757</v>
      </c>
    </row>
    <row r="88" spans="1:34" x14ac:dyDescent="0.25">
      <c r="A88">
        <f>+Probs_Hombres!A88</f>
        <v>86</v>
      </c>
      <c r="B88">
        <f>+B87*(1-Probs_Mujeres!B87)</f>
        <v>44629.346224479501</v>
      </c>
      <c r="C88">
        <f>+C87*(1-Probs_Mujeres!C87)</f>
        <v>44610.617499054613</v>
      </c>
      <c r="D88">
        <f>+D87*(1-Probs_Mujeres!D87)</f>
        <v>44597.851393864003</v>
      </c>
      <c r="E88">
        <f>+E87*(1-Probs_Mujeres!E87)</f>
        <v>44589.174911377071</v>
      </c>
      <c r="F88">
        <f>+F87*(1-Probs_Mujeres!F87)</f>
        <v>44583.289378258494</v>
      </c>
      <c r="G88">
        <f>+G87*(1-Probs_Mujeres!G87)</f>
        <v>44579.302220730591</v>
      </c>
      <c r="H88">
        <f>+H87*(1-Probs_Mujeres!H87)</f>
        <v>44576.603475501128</v>
      </c>
      <c r="I88">
        <f>+I87*(1-Probs_Mujeres!I87)</f>
        <v>44574.777876864151</v>
      </c>
      <c r="J88">
        <f>+J87*(1-Probs_Mujeres!J87)</f>
        <v>44573.543417338624</v>
      </c>
      <c r="K88">
        <f>+K87*(1-Probs_Mujeres!K87)</f>
        <v>44572.708905489126</v>
      </c>
      <c r="L88">
        <f>+L87*(1-Probs_Mujeres!L87)</f>
        <v>44572.144865425558</v>
      </c>
      <c r="M88">
        <f>+M87*(1-Probs_Mujeres!M87)</f>
        <v>44571.763681478224</v>
      </c>
      <c r="N88">
        <f>+N87*(1-Probs_Mujeres!N87)</f>
        <v>44571.506094678385</v>
      </c>
      <c r="O88">
        <f>+O87*(1-Probs_Mujeres!O87)</f>
        <v>44571.332038867331</v>
      </c>
      <c r="P88">
        <f>+P87*(1-Probs_Mujeres!P87)</f>
        <v>44571.214430779903</v>
      </c>
      <c r="Q88">
        <f>+Q87*(1-Probs_Mujeres!Q87)</f>
        <v>44571.134965967518</v>
      </c>
      <c r="R88">
        <f>+R87*(1-Probs_Mujeres!R87)</f>
        <v>44571.081274519696</v>
      </c>
      <c r="S88">
        <f>+S87*(1-Probs_Mujeres!S87)</f>
        <v>44571.044997604178</v>
      </c>
      <c r="T88">
        <f>+T87*(1-Probs_Mujeres!T87)</f>
        <v>44571.020487102163</v>
      </c>
      <c r="U88">
        <f>+U87*(1-Probs_Mujeres!U87)</f>
        <v>44571.003926666141</v>
      </c>
      <c r="V88">
        <f>+V87*(1-Probs_Mujeres!V87)</f>
        <v>44570.992737704517</v>
      </c>
      <c r="W88">
        <f>+W87*(1-Probs_Mujeres!W87)</f>
        <v>44570.985177966337</v>
      </c>
      <c r="X88">
        <f>+X87*(1-Probs_Mujeres!X87)</f>
        <v>44570.980070294041</v>
      </c>
      <c r="Y88">
        <f>+Y87*(1-Probs_Mujeres!Y87)</f>
        <v>44570.976619342895</v>
      </c>
      <c r="Z88">
        <f>+Z87*(1-Probs_Mujeres!Z87)</f>
        <v>44570.97428774165</v>
      </c>
      <c r="AA88">
        <f>+AA87*(1-Probs_Mujeres!AA87)</f>
        <v>44570.972712418967</v>
      </c>
      <c r="AB88">
        <f>+AB87*(1-Probs_Mujeres!AB87)</f>
        <v>44570.971648068553</v>
      </c>
      <c r="AC88">
        <f>+AC87*(1-Probs_Mujeres!AC87)</f>
        <v>44570.970928951348</v>
      </c>
      <c r="AD88">
        <f>+AD87*(1-Probs_Mujeres!AD87)</f>
        <v>44570.970443087586</v>
      </c>
      <c r="AE88">
        <f>+AE87*(1-Probs_Mujeres!AE87)</f>
        <v>44570.970114818898</v>
      </c>
      <c r="AF88">
        <f>+AF87*(1-Probs_Mujeres!AF87)</f>
        <v>44570.969893027723</v>
      </c>
      <c r="AG88">
        <f>+AG87*(1-Probs_Mujeres!AG87)</f>
        <v>44570.969743176865</v>
      </c>
      <c r="AH88">
        <f>+AH87*(1-Probs_Mujeres!AH87)</f>
        <v>44570.969641931777</v>
      </c>
    </row>
    <row r="89" spans="1:34" x14ac:dyDescent="0.25">
      <c r="A89">
        <f>+Probs_Hombres!A89</f>
        <v>87</v>
      </c>
      <c r="B89">
        <f>+B88*(1-Probs_Mujeres!B88)</f>
        <v>40603.028769730459</v>
      </c>
      <c r="C89">
        <f>+C88*(1-Probs_Mujeres!C88)</f>
        <v>40569.894934431773</v>
      </c>
      <c r="D89">
        <f>+D88*(1-Probs_Mujeres!D88)</f>
        <v>40547.379340857937</v>
      </c>
      <c r="E89">
        <f>+E88*(1-Probs_Mujeres!E88)</f>
        <v>40532.108050844785</v>
      </c>
      <c r="F89">
        <f>+F88*(1-Probs_Mujeres!F88)</f>
        <v>40521.763309465176</v>
      </c>
      <c r="G89">
        <f>+G88*(1-Probs_Mujeres!G88)</f>
        <v>40514.761740616719</v>
      </c>
      <c r="H89">
        <f>+H88*(1-Probs_Mujeres!H88)</f>
        <v>40510.025613075872</v>
      </c>
      <c r="I89">
        <f>+I88*(1-Probs_Mujeres!I88)</f>
        <v>40506.823146982773</v>
      </c>
      <c r="J89">
        <f>+J88*(1-Probs_Mujeres!J88)</f>
        <v>40504.658270295404</v>
      </c>
      <c r="K89">
        <f>+K88*(1-Probs_Mujeres!K88)</f>
        <v>40503.19506299599</v>
      </c>
      <c r="L89">
        <f>+L88*(1-Probs_Mujeres!L88)</f>
        <v>40502.206220095657</v>
      </c>
      <c r="M89">
        <f>+M88*(1-Probs_Mujeres!M88)</f>
        <v>40501.538008309457</v>
      </c>
      <c r="N89">
        <f>+N88*(1-Probs_Mujeres!N88)</f>
        <v>40501.086487687855</v>
      </c>
      <c r="O89">
        <f>+O88*(1-Probs_Mujeres!O88)</f>
        <v>40500.781399593303</v>
      </c>
      <c r="P89">
        <f>+P88*(1-Probs_Mujeres!P88)</f>
        <v>40500.575259596051</v>
      </c>
      <c r="Q89">
        <f>+Q88*(1-Probs_Mujeres!Q88)</f>
        <v>40500.435978534864</v>
      </c>
      <c r="R89">
        <f>+R88*(1-Probs_Mujeres!R88)</f>
        <v>40500.341872602803</v>
      </c>
      <c r="S89">
        <f>+S88*(1-Probs_Mujeres!S88)</f>
        <v>40500.27828994974</v>
      </c>
      <c r="T89">
        <f>+T88*(1-Probs_Mujeres!T88)</f>
        <v>40500.235330563351</v>
      </c>
      <c r="U89">
        <f>+U88*(1-Probs_Mujeres!U88)</f>
        <v>40500.206305311891</v>
      </c>
      <c r="V89">
        <f>+V88*(1-Probs_Mujeres!V88)</f>
        <v>40500.186694620767</v>
      </c>
      <c r="W89">
        <f>+W88*(1-Probs_Mujeres!W88)</f>
        <v>40500.173444826905</v>
      </c>
      <c r="X89">
        <f>+X88*(1-Probs_Mujeres!X88)</f>
        <v>40500.164492727738</v>
      </c>
      <c r="Y89">
        <f>+Y88*(1-Probs_Mujeres!Y88)</f>
        <v>40500.158444330176</v>
      </c>
      <c r="Z89">
        <f>+Z88*(1-Probs_Mujeres!Z88)</f>
        <v>40500.154357791951</v>
      </c>
      <c r="AA89">
        <f>+AA88*(1-Probs_Mujeres!AA88)</f>
        <v>40500.15159676491</v>
      </c>
      <c r="AB89">
        <f>+AB88*(1-Probs_Mujeres!AB88)</f>
        <v>40500.149731306126</v>
      </c>
      <c r="AC89">
        <f>+AC88*(1-Probs_Mujeres!AC88)</f>
        <v>40500.148470928718</v>
      </c>
      <c r="AD89">
        <f>+AD88*(1-Probs_Mujeres!AD88)</f>
        <v>40500.147619368341</v>
      </c>
      <c r="AE89">
        <f>+AE88*(1-Probs_Mujeres!AE88)</f>
        <v>40500.147044020705</v>
      </c>
      <c r="AF89">
        <f>+AF88*(1-Probs_Mujeres!AF88)</f>
        <v>40500.14665529332</v>
      </c>
      <c r="AG89">
        <f>+AG88*(1-Probs_Mujeres!AG88)</f>
        <v>40500.14639265382</v>
      </c>
      <c r="AH89">
        <f>+AH88*(1-Probs_Mujeres!AH88)</f>
        <v>40500.146215204317</v>
      </c>
    </row>
    <row r="90" spans="1:34" x14ac:dyDescent="0.25">
      <c r="A90">
        <f>+Probs_Hombres!A90</f>
        <v>88</v>
      </c>
      <c r="B90">
        <f>+B89*(1-Probs_Mujeres!B89)</f>
        <v>36402.204690281491</v>
      </c>
      <c r="C90">
        <f>+C89*(1-Probs_Mujeres!C89)</f>
        <v>36350.889503266051</v>
      </c>
      <c r="D90">
        <f>+D89*(1-Probs_Mujeres!D89)</f>
        <v>36316.063883089206</v>
      </c>
      <c r="E90">
        <f>+E89*(1-Probs_Mujeres!E89)</f>
        <v>36292.463618887006</v>
      </c>
      <c r="F90">
        <f>+F89*(1-Probs_Mujeres!F89)</f>
        <v>36276.486101043178</v>
      </c>
      <c r="G90">
        <f>+G89*(1-Probs_Mujeres!G89)</f>
        <v>36265.676347641333</v>
      </c>
      <c r="H90">
        <f>+H89*(1-Probs_Mujeres!H89)</f>
        <v>36258.366139297999</v>
      </c>
      <c r="I90">
        <f>+I89*(1-Probs_Mujeres!I89)</f>
        <v>36253.424011425908</v>
      </c>
      <c r="J90">
        <f>+J89*(1-Probs_Mujeres!J89)</f>
        <v>36250.083517493535</v>
      </c>
      <c r="K90">
        <f>+K89*(1-Probs_Mujeres!K89)</f>
        <v>36247.825910535343</v>
      </c>
      <c r="L90">
        <f>+L89*(1-Probs_Mujeres!L89)</f>
        <v>36246.300291464766</v>
      </c>
      <c r="M90">
        <f>+M89*(1-Probs_Mujeres!M89)</f>
        <v>36245.269390475725</v>
      </c>
      <c r="N90">
        <f>+N89*(1-Probs_Mujeres!N89)</f>
        <v>36244.572812694729</v>
      </c>
      <c r="O90">
        <f>+O89*(1-Probs_Mujeres!O89)</f>
        <v>36244.102149764505</v>
      </c>
      <c r="P90">
        <f>+P89*(1-Probs_Mujeres!P89)</f>
        <v>36243.784138815812</v>
      </c>
      <c r="Q90">
        <f>+Q89*(1-Probs_Mujeres!Q89)</f>
        <v>36243.569272397486</v>
      </c>
      <c r="R90">
        <f>+R89*(1-Probs_Mujeres!R89)</f>
        <v>36243.424097599978</v>
      </c>
      <c r="S90">
        <f>+S89*(1-Probs_Mujeres!S89)</f>
        <v>36243.32601062196</v>
      </c>
      <c r="T90">
        <f>+T89*(1-Probs_Mujeres!T89)</f>
        <v>36243.259738671615</v>
      </c>
      <c r="U90">
        <f>+U89*(1-Probs_Mujeres!U89)</f>
        <v>36243.214962497754</v>
      </c>
      <c r="V90">
        <f>+V89*(1-Probs_Mujeres!V89)</f>
        <v>36243.184709848007</v>
      </c>
      <c r="W90">
        <f>+W89*(1-Probs_Mujeres!W89)</f>
        <v>36243.164269921675</v>
      </c>
      <c r="X90">
        <f>+X89*(1-Probs_Mujeres!X89)</f>
        <v>36243.150459883669</v>
      </c>
      <c r="Y90">
        <f>+Y89*(1-Probs_Mujeres!Y89)</f>
        <v>36243.141129270727</v>
      </c>
      <c r="Z90">
        <f>+Z89*(1-Probs_Mujeres!Z89)</f>
        <v>36243.134825138506</v>
      </c>
      <c r="AA90">
        <f>+AA89*(1-Probs_Mujeres!AA89)</f>
        <v>36243.130565817788</v>
      </c>
      <c r="AB90">
        <f>+AB89*(1-Probs_Mujeres!AB89)</f>
        <v>36243.127688052999</v>
      </c>
      <c r="AC90">
        <f>+AC89*(1-Probs_Mujeres!AC89)</f>
        <v>36243.12574372199</v>
      </c>
      <c r="AD90">
        <f>+AD89*(1-Probs_Mujeres!AD89)</f>
        <v>36243.124430055701</v>
      </c>
      <c r="AE90">
        <f>+AE89*(1-Probs_Mujeres!AE89)</f>
        <v>36243.123542491245</v>
      </c>
      <c r="AF90">
        <f>+AF89*(1-Probs_Mujeres!AF89)</f>
        <v>36243.122942817936</v>
      </c>
      <c r="AG90">
        <f>+AG89*(1-Probs_Mujeres!AG89)</f>
        <v>36243.12253765513</v>
      </c>
      <c r="AH90">
        <f>+AH89*(1-Probs_Mujeres!AH89)</f>
        <v>36243.122263911311</v>
      </c>
    </row>
    <row r="91" spans="1:34" x14ac:dyDescent="0.25">
      <c r="A91">
        <f>+Probs_Hombres!A91</f>
        <v>89</v>
      </c>
      <c r="B91">
        <f>+B90*(1-Probs_Mujeres!B90)</f>
        <v>32058.359769976476</v>
      </c>
      <c r="C91">
        <f>+C90*(1-Probs_Mujeres!C90)</f>
        <v>31985.661693078848</v>
      </c>
      <c r="D91">
        <f>+D90*(1-Probs_Mujeres!D90)</f>
        <v>31936.359366145723</v>
      </c>
      <c r="E91">
        <f>+E90*(1-Probs_Mujeres!E90)</f>
        <v>31902.964646558008</v>
      </c>
      <c r="F91">
        <f>+F90*(1-Probs_Mujeres!F90)</f>
        <v>31880.363508073573</v>
      </c>
      <c r="G91">
        <f>+G90*(1-Probs_Mujeres!G90)</f>
        <v>31865.075799179212</v>
      </c>
      <c r="H91">
        <f>+H90*(1-Probs_Mujeres!H90)</f>
        <v>31854.738843108193</v>
      </c>
      <c r="I91">
        <f>+I90*(1-Probs_Mujeres!I90)</f>
        <v>31847.751148978019</v>
      </c>
      <c r="J91">
        <f>+J90*(1-Probs_Mujeres!J90)</f>
        <v>31843.028327251322</v>
      </c>
      <c r="K91">
        <f>+K90*(1-Probs_Mujeres!K90)</f>
        <v>31839.83664547393</v>
      </c>
      <c r="L91">
        <f>+L90*(1-Probs_Mujeres!L90)</f>
        <v>31837.679874115645</v>
      </c>
      <c r="M91">
        <f>+M90*(1-Probs_Mujeres!M90)</f>
        <v>31836.222516939542</v>
      </c>
      <c r="N91">
        <f>+N90*(1-Probs_Mujeres!N90)</f>
        <v>31835.23779725884</v>
      </c>
      <c r="O91">
        <f>+O90*(1-Probs_Mujeres!O90)</f>
        <v>31834.572449176885</v>
      </c>
      <c r="P91">
        <f>+P90*(1-Probs_Mujeres!P90)</f>
        <v>31834.12289894369</v>
      </c>
      <c r="Q91">
        <f>+Q90*(1-Probs_Mujeres!Q90)</f>
        <v>31833.819158352035</v>
      </c>
      <c r="R91">
        <f>+R90*(1-Probs_Mujeres!R90)</f>
        <v>31833.613936189751</v>
      </c>
      <c r="S91">
        <f>+S90*(1-Probs_Mujeres!S90)</f>
        <v>31833.475278636186</v>
      </c>
      <c r="T91">
        <f>+T90*(1-Probs_Mujeres!T90)</f>
        <v>31833.381595514093</v>
      </c>
      <c r="U91">
        <f>+U90*(1-Probs_Mujeres!U90)</f>
        <v>31833.318299232822</v>
      </c>
      <c r="V91">
        <f>+V90*(1-Probs_Mujeres!V90)</f>
        <v>31833.275533652246</v>
      </c>
      <c r="W91">
        <f>+W90*(1-Probs_Mujeres!W90)</f>
        <v>31833.246639490371</v>
      </c>
      <c r="X91">
        <f>+X90*(1-Probs_Mujeres!X90)</f>
        <v>31833.227117435523</v>
      </c>
      <c r="Y91">
        <f>+Y90*(1-Probs_Mujeres!Y90)</f>
        <v>31833.213927558423</v>
      </c>
      <c r="Z91">
        <f>+Z90*(1-Probs_Mujeres!Z90)</f>
        <v>31833.205015955344</v>
      </c>
      <c r="AA91">
        <f>+AA90*(1-Probs_Mujeres!AA90)</f>
        <v>31833.198994924893</v>
      </c>
      <c r="AB91">
        <f>+AB90*(1-Probs_Mujeres!AB90)</f>
        <v>31833.194926879853</v>
      </c>
      <c r="AC91">
        <f>+AC90*(1-Probs_Mujeres!AC90)</f>
        <v>31833.192178348851</v>
      </c>
      <c r="AD91">
        <f>+AD90*(1-Probs_Mujeres!AD90)</f>
        <v>31833.190321333521</v>
      </c>
      <c r="AE91">
        <f>+AE90*(1-Probs_Mujeres!AE90)</f>
        <v>31833.189066661176</v>
      </c>
      <c r="AF91">
        <f>+AF90*(1-Probs_Mujeres!AF90)</f>
        <v>31833.18821895542</v>
      </c>
      <c r="AG91">
        <f>+AG90*(1-Probs_Mujeres!AG90)</f>
        <v>31833.187646212147</v>
      </c>
      <c r="AH91">
        <f>+AH90*(1-Probs_Mujeres!AH90)</f>
        <v>31833.187259244438</v>
      </c>
    </row>
    <row r="92" spans="1:34" x14ac:dyDescent="0.25">
      <c r="A92">
        <f>+Probs_Hombres!A92</f>
        <v>90</v>
      </c>
      <c r="B92">
        <f>+B91*(1-Probs_Mujeres!B91)</f>
        <v>27718.159861910673</v>
      </c>
      <c r="C92">
        <f>+C91*(1-Probs_Mujeres!C91)</f>
        <v>27624.787701138554</v>
      </c>
      <c r="D92">
        <f>+D91*(1-Probs_Mujeres!D91)</f>
        <v>27561.508443366136</v>
      </c>
      <c r="E92">
        <f>+E91*(1-Probs_Mujeres!E91)</f>
        <v>27518.666589600951</v>
      </c>
      <c r="F92">
        <f>+F91*(1-Probs_Mujeres!F91)</f>
        <v>27489.680938655612</v>
      </c>
      <c r="G92">
        <f>+G91*(1-Probs_Mujeres!G91)</f>
        <v>27470.078865648738</v>
      </c>
      <c r="H92">
        <f>+H91*(1-Probs_Mujeres!H91)</f>
        <v>27456.826625696543</v>
      </c>
      <c r="I92">
        <f>+I91*(1-Probs_Mujeres!I91)</f>
        <v>27447.869102631677</v>
      </c>
      <c r="J92">
        <f>+J91*(1-Probs_Mujeres!J91)</f>
        <v>27441.815319927191</v>
      </c>
      <c r="K92">
        <f>+K91*(1-Probs_Mujeres!K91)</f>
        <v>27437.724358211293</v>
      </c>
      <c r="L92">
        <f>+L91*(1-Probs_Mujeres!L91)</f>
        <v>27434.95998421386</v>
      </c>
      <c r="M92">
        <f>+M91*(1-Probs_Mujeres!M91)</f>
        <v>27433.092100579684</v>
      </c>
      <c r="N92">
        <f>+N91*(1-Probs_Mujeres!N91)</f>
        <v>27431.830010270922</v>
      </c>
      <c r="O92">
        <f>+O91*(1-Probs_Mujeres!O91)</f>
        <v>27430.977258421688</v>
      </c>
      <c r="P92">
        <f>+P91*(1-Probs_Mujeres!P91)</f>
        <v>27430.401090269112</v>
      </c>
      <c r="Q92">
        <f>+Q91*(1-Probs_Mujeres!Q91)</f>
        <v>27430.011801382221</v>
      </c>
      <c r="R92">
        <f>+R91*(1-Probs_Mujeres!R91)</f>
        <v>27429.748779318914</v>
      </c>
      <c r="S92">
        <f>+S91*(1-Probs_Mujeres!S91)</f>
        <v>27429.571069833277</v>
      </c>
      <c r="T92">
        <f>+T91*(1-Probs_Mujeres!T91)</f>
        <v>27429.451001671623</v>
      </c>
      <c r="U92">
        <f>+U91*(1-Probs_Mujeres!U91)</f>
        <v>27429.369878613201</v>
      </c>
      <c r="V92">
        <f>+V91*(1-Probs_Mujeres!V91)</f>
        <v>27429.315068558957</v>
      </c>
      <c r="W92">
        <f>+W91*(1-Probs_Mujeres!W91)</f>
        <v>27429.278036676835</v>
      </c>
      <c r="X92">
        <f>+X91*(1-Probs_Mujeres!X91)</f>
        <v>27429.253016458639</v>
      </c>
      <c r="Y92">
        <f>+Y91*(1-Probs_Mujeres!Y91)</f>
        <v>27429.236111806673</v>
      </c>
      <c r="Z92">
        <f>+Z91*(1-Probs_Mujeres!Z91)</f>
        <v>27429.224690356106</v>
      </c>
      <c r="AA92">
        <f>+AA91*(1-Probs_Mujeres!AA91)</f>
        <v>27429.216973574359</v>
      </c>
      <c r="AB92">
        <f>+AB91*(1-Probs_Mujeres!AB91)</f>
        <v>27429.211759813337</v>
      </c>
      <c r="AC92">
        <f>+AC91*(1-Probs_Mujeres!AC91)</f>
        <v>27429.208237191771</v>
      </c>
      <c r="AD92">
        <f>+AD91*(1-Probs_Mujeres!AD91)</f>
        <v>27429.205857170553</v>
      </c>
      <c r="AE92">
        <f>+AE91*(1-Probs_Mujeres!AE91)</f>
        <v>27429.20424913496</v>
      </c>
      <c r="AF92">
        <f>+AF91*(1-Probs_Mujeres!AF91)</f>
        <v>27429.203162683149</v>
      </c>
      <c r="AG92">
        <f>+AG91*(1-Probs_Mujeres!AG91)</f>
        <v>27429.202428633711</v>
      </c>
      <c r="AH92">
        <f>+AH91*(1-Probs_Mujeres!AH91)</f>
        <v>27429.201932681222</v>
      </c>
    </row>
    <row r="93" spans="1:34" x14ac:dyDescent="0.25">
      <c r="A93">
        <f>+Probs_Hombres!A93</f>
        <v>91</v>
      </c>
      <c r="B93">
        <f>+B92*(1-Probs_Mujeres!B92)</f>
        <v>23546.262357655538</v>
      </c>
      <c r="C93">
        <f>+C92*(1-Probs_Mujeres!C92)</f>
        <v>23436.8340600712</v>
      </c>
      <c r="D93">
        <f>+D92*(1-Probs_Mujeres!D92)</f>
        <v>23362.738411783277</v>
      </c>
      <c r="E93">
        <f>+E92*(1-Probs_Mujeres!E92)</f>
        <v>23312.603410049207</v>
      </c>
      <c r="F93">
        <f>+F92*(1-Probs_Mujeres!F92)</f>
        <v>23278.697094037274</v>
      </c>
      <c r="G93">
        <f>+G92*(1-Probs_Mujeres!G92)</f>
        <v>23255.773595281506</v>
      </c>
      <c r="H93">
        <f>+H92*(1-Probs_Mujeres!H92)</f>
        <v>23240.278726083794</v>
      </c>
      <c r="I93">
        <f>+I92*(1-Probs_Mujeres!I92)</f>
        <v>23229.806662584895</v>
      </c>
      <c r="J93">
        <f>+J92*(1-Probs_Mujeres!J92)</f>
        <v>23222.729902796975</v>
      </c>
      <c r="K93">
        <f>+K92*(1-Probs_Mujeres!K92)</f>
        <v>23217.947917567944</v>
      </c>
      <c r="L93">
        <f>+L92*(1-Probs_Mujeres!L92)</f>
        <v>23214.716724965601</v>
      </c>
      <c r="M93">
        <f>+M92*(1-Probs_Mujeres!M92)</f>
        <v>23212.533469621088</v>
      </c>
      <c r="N93">
        <f>+N92*(1-Probs_Mujeres!N92)</f>
        <v>23211.058315184535</v>
      </c>
      <c r="O93">
        <f>+O92*(1-Probs_Mujeres!O92)</f>
        <v>23210.061614965445</v>
      </c>
      <c r="P93">
        <f>+P92*(1-Probs_Mujeres!P92)</f>
        <v>23209.388192443093</v>
      </c>
      <c r="Q93">
        <f>+Q92*(1-Probs_Mujeres!Q92)</f>
        <v>23208.933195968355</v>
      </c>
      <c r="R93">
        <f>+R92*(1-Probs_Mujeres!R92)</f>
        <v>23208.625779867285</v>
      </c>
      <c r="S93">
        <f>+S92*(1-Probs_Mujeres!S92)</f>
        <v>23208.41807629721</v>
      </c>
      <c r="T93">
        <f>+T92*(1-Probs_Mujeres!T92)</f>
        <v>23208.277743079208</v>
      </c>
      <c r="U93">
        <f>+U92*(1-Probs_Mujeres!U92)</f>
        <v>23208.182928210885</v>
      </c>
      <c r="V93">
        <f>+V92*(1-Probs_Mujeres!V92)</f>
        <v>23208.118867459227</v>
      </c>
      <c r="W93">
        <f>+W92*(1-Probs_Mujeres!W92)</f>
        <v>23208.075585455455</v>
      </c>
      <c r="X93">
        <f>+X92*(1-Probs_Mujeres!X92)</f>
        <v>23208.046342415706</v>
      </c>
      <c r="Y93">
        <f>+Y92*(1-Probs_Mujeres!Y92)</f>
        <v>23208.026584662653</v>
      </c>
      <c r="Z93">
        <f>+Z92*(1-Probs_Mujeres!Z92)</f>
        <v>23208.013235546445</v>
      </c>
      <c r="AA93">
        <f>+AA92*(1-Probs_Mujeres!AA92)</f>
        <v>23208.004216358859</v>
      </c>
      <c r="AB93">
        <f>+AB92*(1-Probs_Mujeres!AB92)</f>
        <v>23207.998122641711</v>
      </c>
      <c r="AC93">
        <f>+AC92*(1-Probs_Mujeres!AC92)</f>
        <v>23207.994005487435</v>
      </c>
      <c r="AD93">
        <f>+AD92*(1-Probs_Mujeres!AD92)</f>
        <v>23207.991223776706</v>
      </c>
      <c r="AE93">
        <f>+AE92*(1-Probs_Mujeres!AE92)</f>
        <v>23207.989344343991</v>
      </c>
      <c r="AF93">
        <f>+AF92*(1-Probs_Mujeres!AF92)</f>
        <v>23207.988074525656</v>
      </c>
      <c r="AG93">
        <f>+AG92*(1-Probs_Mujeres!AG92)</f>
        <v>23207.987216586655</v>
      </c>
      <c r="AH93">
        <f>+AH92*(1-Probs_Mujeres!AH92)</f>
        <v>23207.986636929505</v>
      </c>
    </row>
    <row r="94" spans="1:34" x14ac:dyDescent="0.25">
      <c r="A94">
        <f>+Probs_Hombres!A94</f>
        <v>92</v>
      </c>
      <c r="B94">
        <f>+B93*(1-Probs_Mujeres!B93)</f>
        <v>19572.580097479229</v>
      </c>
      <c r="C94">
        <f>+C93*(1-Probs_Mujeres!C93)</f>
        <v>19450.485159932894</v>
      </c>
      <c r="D94">
        <f>+D93*(1-Probs_Mujeres!D93)</f>
        <v>19367.898371725638</v>
      </c>
      <c r="E94">
        <f>+E93*(1-Probs_Mujeres!E93)</f>
        <v>19312.057420215016</v>
      </c>
      <c r="F94">
        <f>+F93*(1-Probs_Mujeres!F93)</f>
        <v>19274.31022703461</v>
      </c>
      <c r="G94">
        <f>+G93*(1-Probs_Mujeres!G93)</f>
        <v>19248.798244736081</v>
      </c>
      <c r="H94">
        <f>+H93*(1-Probs_Mujeres!H93)</f>
        <v>19231.557503861037</v>
      </c>
      <c r="I94">
        <f>+I93*(1-Probs_Mujeres!I93)</f>
        <v>19219.907238765329</v>
      </c>
      <c r="J94">
        <f>+J93*(1-Probs_Mujeres!J93)</f>
        <v>19212.03506998159</v>
      </c>
      <c r="K94">
        <f>+K93*(1-Probs_Mujeres!K93)</f>
        <v>19206.715963327748</v>
      </c>
      <c r="L94">
        <f>+L93*(1-Probs_Mujeres!L93)</f>
        <v>19203.122002066983</v>
      </c>
      <c r="M94">
        <f>+M93*(1-Probs_Mujeres!M93)</f>
        <v>19200.693706128703</v>
      </c>
      <c r="N94">
        <f>+N93*(1-Probs_Mujeres!N93)</f>
        <v>19199.053020127689</v>
      </c>
      <c r="O94">
        <f>+O93*(1-Probs_Mujeres!O93)</f>
        <v>19197.944492839892</v>
      </c>
      <c r="P94">
        <f>+P93*(1-Probs_Mujeres!P93)</f>
        <v>19197.195521296475</v>
      </c>
      <c r="Q94">
        <f>+Q93*(1-Probs_Mujeres!Q93)</f>
        <v>19196.689483559323</v>
      </c>
      <c r="R94">
        <f>+R93*(1-Probs_Mujeres!R93)</f>
        <v>19196.347583176728</v>
      </c>
      <c r="S94">
        <f>+S93*(1-Probs_Mujeres!S93)</f>
        <v>19196.116581221093</v>
      </c>
      <c r="T94">
        <f>+T93*(1-Probs_Mujeres!T93)</f>
        <v>19195.960506950647</v>
      </c>
      <c r="U94">
        <f>+U93*(1-Probs_Mujeres!U93)</f>
        <v>19195.855056924775</v>
      </c>
      <c r="V94">
        <f>+V93*(1-Probs_Mujeres!V93)</f>
        <v>19195.783810696284</v>
      </c>
      <c r="W94">
        <f>+W93*(1-Probs_Mujeres!W93)</f>
        <v>19195.735673926825</v>
      </c>
      <c r="X94">
        <f>+X93*(1-Probs_Mujeres!X93)</f>
        <v>19195.703150828191</v>
      </c>
      <c r="Y94">
        <f>+Y93*(1-Probs_Mujeres!Y93)</f>
        <v>19195.681176943941</v>
      </c>
      <c r="Z94">
        <f>+Z93*(1-Probs_Mujeres!Z93)</f>
        <v>19195.666330524997</v>
      </c>
      <c r="AA94">
        <f>+AA93*(1-Probs_Mujeres!AA93)</f>
        <v>19195.656299702132</v>
      </c>
      <c r="AB94">
        <f>+AB93*(1-Probs_Mujeres!AB93)</f>
        <v>19195.649522485073</v>
      </c>
      <c r="AC94">
        <f>+AC93*(1-Probs_Mujeres!AC93)</f>
        <v>19195.644943531726</v>
      </c>
      <c r="AD94">
        <f>+AD93*(1-Probs_Mujeres!AD93)</f>
        <v>19195.641849811549</v>
      </c>
      <c r="AE94">
        <f>+AE93*(1-Probs_Mujeres!AE93)</f>
        <v>19195.639759573092</v>
      </c>
      <c r="AF94">
        <f>+AF93*(1-Probs_Mujeres!AF93)</f>
        <v>19195.638347326185</v>
      </c>
      <c r="AG94">
        <f>+AG93*(1-Probs_Mujeres!AG93)</f>
        <v>19195.637393156863</v>
      </c>
      <c r="AH94">
        <f>+AH93*(1-Probs_Mujeres!AH93)</f>
        <v>19195.636748482753</v>
      </c>
    </row>
    <row r="95" spans="1:34" x14ac:dyDescent="0.25">
      <c r="A95">
        <f>+Probs_Hombres!A95</f>
        <v>93</v>
      </c>
      <c r="B95">
        <f>+B94*(1-Probs_Mujeres!B94)</f>
        <v>15939.395038669554</v>
      </c>
      <c r="C95">
        <f>+C94*(1-Probs_Mujeres!C94)</f>
        <v>15808.390132843258</v>
      </c>
      <c r="D95">
        <f>+D94*(1-Probs_Mujeres!D94)</f>
        <v>15719.886291359391</v>
      </c>
      <c r="E95">
        <f>+E94*(1-Probs_Mujeres!E94)</f>
        <v>15660.095036903693</v>
      </c>
      <c r="F95">
        <f>+F94*(1-Probs_Mujeres!F94)</f>
        <v>15619.70070670012</v>
      </c>
      <c r="G95">
        <f>+G94*(1-Probs_Mujeres!G94)</f>
        <v>15592.410236238895</v>
      </c>
      <c r="H95">
        <f>+H94*(1-Probs_Mujeres!H94)</f>
        <v>15573.972469289543</v>
      </c>
      <c r="I95">
        <f>+I94*(1-Probs_Mujeres!I94)</f>
        <v>15561.515546673612</v>
      </c>
      <c r="J95">
        <f>+J94*(1-Probs_Mujeres!J94)</f>
        <v>15553.099328671311</v>
      </c>
      <c r="K95">
        <f>+K94*(1-Probs_Mujeres!K94)</f>
        <v>15547.413079837539</v>
      </c>
      <c r="L95">
        <f>+L94*(1-Probs_Mujeres!L94)</f>
        <v>15543.571263383343</v>
      </c>
      <c r="M95">
        <f>+M94*(1-Probs_Mujeres!M94)</f>
        <v>15540.975598314753</v>
      </c>
      <c r="N95">
        <f>+N94*(1-Probs_Mujeres!N94)</f>
        <v>15539.221872978915</v>
      </c>
      <c r="O95">
        <f>+O94*(1-Probs_Mujeres!O94)</f>
        <v>15538.036990977973</v>
      </c>
      <c r="P95">
        <f>+P94*(1-Probs_Mujeres!P94)</f>
        <v>15537.236439915698</v>
      </c>
      <c r="Q95">
        <f>+Q94*(1-Probs_Mujeres!Q94)</f>
        <v>15536.695557015106</v>
      </c>
      <c r="R95">
        <f>+R94*(1-Probs_Mujeres!R94)</f>
        <v>15536.330115692494</v>
      </c>
      <c r="S95">
        <f>+S94*(1-Probs_Mujeres!S94)</f>
        <v>15536.083209385562</v>
      </c>
      <c r="T95">
        <f>+T94*(1-Probs_Mujeres!T94)</f>
        <v>15535.916389891472</v>
      </c>
      <c r="U95">
        <f>+U94*(1-Probs_Mujeres!U94)</f>
        <v>15535.803680144778</v>
      </c>
      <c r="V95">
        <f>+V94*(1-Probs_Mujeres!V94)</f>
        <v>15535.72752904365</v>
      </c>
      <c r="W95">
        <f>+W94*(1-Probs_Mujeres!W94)</f>
        <v>15535.676078386301</v>
      </c>
      <c r="X95">
        <f>+X94*(1-Probs_Mujeres!X94)</f>
        <v>15535.641316311767</v>
      </c>
      <c r="Y95">
        <f>+Y94*(1-Probs_Mujeres!Y94)</f>
        <v>15535.617829695282</v>
      </c>
      <c r="Z95">
        <f>+Z94*(1-Probs_Mujeres!Z94)</f>
        <v>15535.601961218679</v>
      </c>
      <c r="AA95">
        <f>+AA94*(1-Probs_Mujeres!AA94)</f>
        <v>15535.591239855215</v>
      </c>
      <c r="AB95">
        <f>+AB94*(1-Probs_Mujeres!AB94)</f>
        <v>15535.583996082616</v>
      </c>
      <c r="AC95">
        <f>+AC94*(1-Probs_Mujeres!AC94)</f>
        <v>15535.579101906427</v>
      </c>
      <c r="AD95">
        <f>+AD94*(1-Probs_Mujeres!AD94)</f>
        <v>15535.57579520949</v>
      </c>
      <c r="AE95">
        <f>+AE94*(1-Probs_Mujeres!AE94)</f>
        <v>15535.573561075687</v>
      </c>
      <c r="AF95">
        <f>+AF94*(1-Probs_Mujeres!AF94)</f>
        <v>15535.572051607456</v>
      </c>
      <c r="AG95">
        <f>+AG94*(1-Probs_Mujeres!AG94)</f>
        <v>15535.571031751653</v>
      </c>
      <c r="AH95">
        <f>+AH94*(1-Probs_Mujeres!AH94)</f>
        <v>15535.570342697174</v>
      </c>
    </row>
    <row r="96" spans="1:34" x14ac:dyDescent="0.25">
      <c r="A96">
        <f>+Probs_Hombres!A96</f>
        <v>94</v>
      </c>
      <c r="B96">
        <f>+B95*(1-Probs_Mujeres!B95)</f>
        <v>12848.398011075507</v>
      </c>
      <c r="C96">
        <f>+C95*(1-Probs_Mujeres!C95)</f>
        <v>12714.985013185669</v>
      </c>
      <c r="D96">
        <f>+D95*(1-Probs_Mujeres!D95)</f>
        <v>12624.987067263286</v>
      </c>
      <c r="E96">
        <f>+E95*(1-Probs_Mujeres!E95)</f>
        <v>12564.247446841106</v>
      </c>
      <c r="F96">
        <f>+F95*(1-Probs_Mujeres!F95)</f>
        <v>12523.240394988145</v>
      </c>
      <c r="G96">
        <f>+G95*(1-Probs_Mujeres!G95)</f>
        <v>12495.548783501077</v>
      </c>
      <c r="H96">
        <f>+H95*(1-Probs_Mujeres!H95)</f>
        <v>12476.845863030556</v>
      </c>
      <c r="I96">
        <f>+I95*(1-Probs_Mujeres!I95)</f>
        <v>12464.212477235726</v>
      </c>
      <c r="J96">
        <f>+J95*(1-Probs_Mujeres!J95)</f>
        <v>12455.678260648803</v>
      </c>
      <c r="K96">
        <f>+K95*(1-Probs_Mujeres!K95)</f>
        <v>12449.912847767082</v>
      </c>
      <c r="L96">
        <f>+L95*(1-Probs_Mujeres!L95)</f>
        <v>12446.017800921358</v>
      </c>
      <c r="M96">
        <f>+M95*(1-Probs_Mujeres!M95)</f>
        <v>12443.386288184975</v>
      </c>
      <c r="N96">
        <f>+N95*(1-Probs_Mujeres!N95)</f>
        <v>12441.608396121659</v>
      </c>
      <c r="O96">
        <f>+O95*(1-Probs_Mujeres!O95)</f>
        <v>12440.407210495367</v>
      </c>
      <c r="P96">
        <f>+P95*(1-Probs_Mujeres!P95)</f>
        <v>12439.59565518755</v>
      </c>
      <c r="Q96">
        <f>+Q95*(1-Probs_Mujeres!Q95)</f>
        <v>12439.047342465321</v>
      </c>
      <c r="R96">
        <f>+R95*(1-Probs_Mujeres!R95)</f>
        <v>12438.67688358227</v>
      </c>
      <c r="S96">
        <f>+S95*(1-Probs_Mujeres!S95)</f>
        <v>12438.426588273222</v>
      </c>
      <c r="T96">
        <f>+T95*(1-Probs_Mujeres!T95)</f>
        <v>12438.257479519722</v>
      </c>
      <c r="U96">
        <f>+U95*(1-Probs_Mujeres!U95)</f>
        <v>12438.143223280265</v>
      </c>
      <c r="V96">
        <f>+V95*(1-Probs_Mujeres!V95)</f>
        <v>12438.066027408753</v>
      </c>
      <c r="W96">
        <f>+W95*(1-Probs_Mujeres!W95)</f>
        <v>12438.013870909594</v>
      </c>
      <c r="X96">
        <f>+X95*(1-Probs_Mujeres!X95)</f>
        <v>12437.978631961705</v>
      </c>
      <c r="Y96">
        <f>+Y95*(1-Probs_Mujeres!Y95)</f>
        <v>12437.954823160473</v>
      </c>
      <c r="Z96">
        <f>+Z95*(1-Probs_Mujeres!Z95)</f>
        <v>12437.938737007629</v>
      </c>
      <c r="AA96">
        <f>+AA95*(1-Probs_Mujeres!AA95)</f>
        <v>12437.927868575574</v>
      </c>
      <c r="AB96">
        <f>+AB95*(1-Probs_Mujeres!AB95)</f>
        <v>12437.92052543858</v>
      </c>
      <c r="AC96">
        <f>+AC95*(1-Probs_Mujeres!AC95)</f>
        <v>12437.915564128347</v>
      </c>
      <c r="AD96">
        <f>+AD95*(1-Probs_Mujeres!AD95)</f>
        <v>12437.912212073208</v>
      </c>
      <c r="AE96">
        <f>+AE95*(1-Probs_Mujeres!AE95)</f>
        <v>12437.909947293701</v>
      </c>
      <c r="AF96">
        <f>+AF95*(1-Probs_Mujeres!AF95)</f>
        <v>12437.908417120094</v>
      </c>
      <c r="AG96">
        <f>+AG95*(1-Probs_Mujeres!AG95)</f>
        <v>12437.907383274936</v>
      </c>
      <c r="AH96">
        <f>+AH95*(1-Probs_Mujeres!AH95)</f>
        <v>12437.906684768703</v>
      </c>
    </row>
    <row r="97" spans="1:34" x14ac:dyDescent="0.25">
      <c r="A97">
        <f>+Probs_Hombres!A97</f>
        <v>95</v>
      </c>
      <c r="B97">
        <f>+B96*(1-Probs_Mujeres!B96)</f>
        <v>10244.807495028113</v>
      </c>
      <c r="C97">
        <f>+C96*(1-Probs_Mujeres!C96)</f>
        <v>10115.569065332729</v>
      </c>
      <c r="D97">
        <f>+D96*(1-Probs_Mujeres!D96)</f>
        <v>10028.533302189748</v>
      </c>
      <c r="E97">
        <f>+E96*(1-Probs_Mujeres!E96)</f>
        <v>9969.8598962762917</v>
      </c>
      <c r="F97">
        <f>+F96*(1-Probs_Mujeres!F96)</f>
        <v>9930.2785129395907</v>
      </c>
      <c r="G97">
        <f>+G96*(1-Probs_Mujeres!G96)</f>
        <v>9903.5636904030198</v>
      </c>
      <c r="H97">
        <f>+H96*(1-Probs_Mujeres!H96)</f>
        <v>9885.5269174658952</v>
      </c>
      <c r="I97">
        <f>+I96*(1-Probs_Mujeres!I96)</f>
        <v>9873.3464343862051</v>
      </c>
      <c r="J97">
        <f>+J96*(1-Probs_Mujeres!J96)</f>
        <v>9865.1195076853637</v>
      </c>
      <c r="K97">
        <f>+K96*(1-Probs_Mujeres!K96)</f>
        <v>9859.56230137282</v>
      </c>
      <c r="L97">
        <f>+L96*(1-Probs_Mujeres!L96)</f>
        <v>9855.8081961714397</v>
      </c>
      <c r="M97">
        <f>+M96*(1-Probs_Mujeres!M96)</f>
        <v>9853.2720319962755</v>
      </c>
      <c r="N97">
        <f>+N96*(1-Probs_Mujeres!N96)</f>
        <v>9851.5586172450658</v>
      </c>
      <c r="O97">
        <f>+O96*(1-Probs_Mujeres!O96)</f>
        <v>9850.4010206209296</v>
      </c>
      <c r="P97">
        <f>+P96*(1-Probs_Mujeres!P96)</f>
        <v>9849.6189274383523</v>
      </c>
      <c r="Q97">
        <f>+Q96*(1-Probs_Mujeres!Q96)</f>
        <v>9849.0905258171497</v>
      </c>
      <c r="R97">
        <f>+R96*(1-Probs_Mujeres!R96)</f>
        <v>9848.7335220891036</v>
      </c>
      <c r="S97">
        <f>+S96*(1-Probs_Mujeres!S96)</f>
        <v>9848.4923187213335</v>
      </c>
      <c r="T97">
        <f>+T96*(1-Probs_Mujeres!T96)</f>
        <v>9848.3293533467822</v>
      </c>
      <c r="U97">
        <f>+U96*(1-Probs_Mujeres!U96)</f>
        <v>9848.2192480462691</v>
      </c>
      <c r="V97">
        <f>+V96*(1-Probs_Mujeres!V96)</f>
        <v>9848.1448568173328</v>
      </c>
      <c r="W97">
        <f>+W96*(1-Probs_Mujeres!W96)</f>
        <v>9848.0945952927286</v>
      </c>
      <c r="X97">
        <f>+X96*(1-Probs_Mujeres!X96)</f>
        <v>9848.0606366858501</v>
      </c>
      <c r="Y97">
        <f>+Y96*(1-Probs_Mujeres!Y96)</f>
        <v>9848.0376929431695</v>
      </c>
      <c r="Z97">
        <f>+Z96*(1-Probs_Mujeres!Z96)</f>
        <v>9848.0221912623383</v>
      </c>
      <c r="AA97">
        <f>+AA96*(1-Probs_Mujeres!AA96)</f>
        <v>9848.0117177245302</v>
      </c>
      <c r="AB97">
        <f>+AB96*(1-Probs_Mujeres!AB96)</f>
        <v>9848.0046413945038</v>
      </c>
      <c r="AC97">
        <f>+AC96*(1-Probs_Mujeres!AC96)</f>
        <v>9847.9998603499444</v>
      </c>
      <c r="AD97">
        <f>+AD96*(1-Probs_Mujeres!AD96)</f>
        <v>9847.996630089543</v>
      </c>
      <c r="AE97">
        <f>+AE96*(1-Probs_Mujeres!AE96)</f>
        <v>9847.9944475994234</v>
      </c>
      <c r="AF97">
        <f>+AF96*(1-Probs_Mujeres!AF96)</f>
        <v>9847.9929730237764</v>
      </c>
      <c r="AG97">
        <f>+AG96*(1-Probs_Mujeres!AG96)</f>
        <v>9847.9919767428037</v>
      </c>
      <c r="AH97">
        <f>+AH96*(1-Probs_Mujeres!AH96)</f>
        <v>9847.9913036164107</v>
      </c>
    </row>
    <row r="98" spans="1:34" x14ac:dyDescent="0.25">
      <c r="A98">
        <v>96</v>
      </c>
      <c r="B98">
        <f>+B97*(1-Probs_Mujeres!B97)</f>
        <v>0</v>
      </c>
      <c r="C98">
        <v>0</v>
      </c>
      <c r="D98">
        <f>+D97*(1-Probs_Mujeres!D97)</f>
        <v>0</v>
      </c>
      <c r="E98">
        <f>+E97*(1-Probs_Mujeres!E97)</f>
        <v>0</v>
      </c>
      <c r="F98">
        <f>+F97*(1-Probs_Mujeres!F97)</f>
        <v>0</v>
      </c>
      <c r="G98">
        <f>+G97*(1-Probs_Mujeres!G97)</f>
        <v>0</v>
      </c>
      <c r="H98">
        <f>+H97*(1-Probs_Mujeres!H97)</f>
        <v>0</v>
      </c>
      <c r="I98">
        <f>+I97*(1-Probs_Mujeres!I97)</f>
        <v>0</v>
      </c>
      <c r="J98">
        <f>+J97*(1-Probs_Mujeres!J97)</f>
        <v>0</v>
      </c>
      <c r="K98">
        <f>+K97*(1-Probs_Mujeres!K97)</f>
        <v>0</v>
      </c>
      <c r="L98">
        <f>+L97*(1-Probs_Mujeres!L97)</f>
        <v>0</v>
      </c>
      <c r="M98">
        <f>+M97*(1-Probs_Mujeres!M97)</f>
        <v>0</v>
      </c>
      <c r="N98">
        <f>+N97*(1-Probs_Mujeres!N97)</f>
        <v>0</v>
      </c>
      <c r="O98">
        <f>+O97*(1-Probs_Mujeres!O97)</f>
        <v>0</v>
      </c>
      <c r="P98">
        <f>+P97*(1-Probs_Mujeres!P97)</f>
        <v>0</v>
      </c>
      <c r="Q98">
        <f>+Q97*(1-Probs_Mujeres!Q97)</f>
        <v>0</v>
      </c>
      <c r="R98">
        <f>+R97*(1-Probs_Mujeres!R97)</f>
        <v>0</v>
      </c>
      <c r="S98">
        <f>+S97*(1-Probs_Mujeres!S97)</f>
        <v>0</v>
      </c>
      <c r="T98">
        <f>+T97*(1-Probs_Mujeres!T97)</f>
        <v>0</v>
      </c>
      <c r="U98">
        <f>+U97*(1-Probs_Mujeres!U97)</f>
        <v>0</v>
      </c>
      <c r="V98">
        <f>+V97*(1-Probs_Mujeres!V97)</f>
        <v>0</v>
      </c>
      <c r="W98">
        <f>+W97*(1-Probs_Mujeres!W97)</f>
        <v>0</v>
      </c>
      <c r="X98">
        <f>+X97*(1-Probs_Mujeres!X97)</f>
        <v>0</v>
      </c>
      <c r="Y98">
        <f>+Y97*(1-Probs_Mujeres!Y97)</f>
        <v>0</v>
      </c>
      <c r="Z98">
        <f>+Z97*(1-Probs_Mujeres!Z97)</f>
        <v>0</v>
      </c>
      <c r="AA98">
        <f>+AA97*(1-Probs_Mujeres!AA97)</f>
        <v>0</v>
      </c>
      <c r="AB98">
        <f>+AB97*(1-Probs_Mujeres!AB97)</f>
        <v>0</v>
      </c>
      <c r="AC98">
        <f>+AC97*(1-Probs_Mujeres!AC97)</f>
        <v>0</v>
      </c>
      <c r="AD98">
        <f>+AD97*(1-Probs_Mujeres!AD97)</f>
        <v>0</v>
      </c>
      <c r="AE98">
        <f>+AE97*(1-Probs_Mujeres!AE97)</f>
        <v>0</v>
      </c>
      <c r="AF98">
        <f>+AF97*(1-Probs_Mujeres!AF97)</f>
        <v>0</v>
      </c>
      <c r="AG98">
        <f>+AG97*(1-Probs_Mujeres!AG97)</f>
        <v>0</v>
      </c>
      <c r="AH98">
        <f>+AH97*(1-Probs_Mujeres!AH97)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102"/>
  <sheetViews>
    <sheetView workbookViewId="0">
      <selection activeCell="B1" sqref="B1:B1048576"/>
    </sheetView>
  </sheetViews>
  <sheetFormatPr baseColWidth="10" defaultRowHeight="15" x14ac:dyDescent="0.25"/>
  <sheetData>
    <row r="1" spans="1:34" x14ac:dyDescent="0.25">
      <c r="A1" s="2" t="s">
        <v>0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  <c r="H1" s="2" t="s">
        <v>40</v>
      </c>
      <c r="I1" s="2" t="s">
        <v>41</v>
      </c>
      <c r="J1" s="2" t="s">
        <v>42</v>
      </c>
      <c r="K1" s="2" t="s">
        <v>43</v>
      </c>
      <c r="L1" s="2" t="s">
        <v>44</v>
      </c>
      <c r="M1" s="2" t="s">
        <v>45</v>
      </c>
      <c r="N1" s="2" t="s">
        <v>46</v>
      </c>
      <c r="O1" s="2" t="s">
        <v>47</v>
      </c>
      <c r="P1" s="2" t="s">
        <v>48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2" t="s">
        <v>59</v>
      </c>
      <c r="AB1" s="2" t="s">
        <v>60</v>
      </c>
      <c r="AC1" s="2" t="s">
        <v>61</v>
      </c>
      <c r="AD1" s="2" t="s">
        <v>62</v>
      </c>
      <c r="AE1" s="2" t="s">
        <v>63</v>
      </c>
      <c r="AF1" s="2" t="s">
        <v>64</v>
      </c>
      <c r="AG1" s="2" t="s">
        <v>65</v>
      </c>
      <c r="AH1" s="2" t="s">
        <v>66</v>
      </c>
    </row>
    <row r="2" spans="1:34" x14ac:dyDescent="0.25">
      <c r="A2">
        <f>+Probs_Hombres!A2</f>
        <v>0</v>
      </c>
      <c r="B2">
        <v>100000</v>
      </c>
      <c r="C2">
        <v>100000</v>
      </c>
      <c r="D2">
        <v>100000</v>
      </c>
      <c r="E2">
        <v>100000</v>
      </c>
      <c r="F2">
        <v>100000</v>
      </c>
      <c r="G2">
        <v>100000</v>
      </c>
      <c r="H2">
        <v>100000</v>
      </c>
      <c r="I2">
        <v>100000</v>
      </c>
      <c r="J2">
        <v>100000</v>
      </c>
      <c r="K2">
        <v>100000</v>
      </c>
      <c r="L2">
        <v>100000</v>
      </c>
      <c r="M2">
        <v>100000</v>
      </c>
      <c r="N2">
        <v>100000</v>
      </c>
      <c r="O2">
        <v>100000</v>
      </c>
      <c r="P2">
        <v>100000</v>
      </c>
      <c r="Q2">
        <v>100000</v>
      </c>
      <c r="R2">
        <v>100000</v>
      </c>
      <c r="S2">
        <v>100000</v>
      </c>
      <c r="T2">
        <v>100000</v>
      </c>
      <c r="U2">
        <v>100000</v>
      </c>
      <c r="V2">
        <v>100000</v>
      </c>
      <c r="W2">
        <v>100000</v>
      </c>
      <c r="X2">
        <v>100000</v>
      </c>
      <c r="Y2">
        <v>100000</v>
      </c>
      <c r="Z2">
        <v>100000</v>
      </c>
      <c r="AA2">
        <v>100000</v>
      </c>
      <c r="AB2">
        <v>100000</v>
      </c>
      <c r="AC2">
        <v>100000</v>
      </c>
      <c r="AD2">
        <v>100000</v>
      </c>
      <c r="AE2">
        <v>100000</v>
      </c>
      <c r="AF2">
        <v>100000</v>
      </c>
      <c r="AG2">
        <v>100000</v>
      </c>
      <c r="AH2">
        <v>100000</v>
      </c>
    </row>
    <row r="3" spans="1:34" x14ac:dyDescent="0.25">
      <c r="A3">
        <f>+Probs_Hombres!A3</f>
        <v>1</v>
      </c>
      <c r="B3">
        <f>+B2*(1-Probs_Hombres!B2)</f>
        <v>99140.310812320866</v>
      </c>
      <c r="C3">
        <f>+C2*(1-Probs_Hombres!C2)</f>
        <v>99144.09149280448</v>
      </c>
      <c r="D3">
        <f>+D2*(1-Probs_Hombres!D2)</f>
        <v>99146.648894658952</v>
      </c>
      <c r="E3">
        <f>+E2*(1-Probs_Hombres!E2)</f>
        <v>99148.380870111781</v>
      </c>
      <c r="F3">
        <f>+F2*(1-Probs_Hombres!F2)</f>
        <v>99149.554776027042</v>
      </c>
      <c r="G3">
        <f>+G2*(1-Probs_Hombres!G2)</f>
        <v>99150.35086509645</v>
      </c>
      <c r="H3">
        <f>+H2*(1-Probs_Hombres!H2)</f>
        <v>99150.890936036332</v>
      </c>
      <c r="I3">
        <f>+I2*(1-Probs_Hombres!I2)</f>
        <v>99151.257415054861</v>
      </c>
      <c r="J3">
        <f>+J2*(1-Probs_Hombres!J2)</f>
        <v>99151.506141253762</v>
      </c>
      <c r="K3">
        <f>+K2*(1-Probs_Hombres!K2)</f>
        <v>99151.674969172498</v>
      </c>
      <c r="L3">
        <f>+L2*(1-Probs_Hombres!L2)</f>
        <v>99151.789573538234</v>
      </c>
      <c r="M3">
        <f>+M2*(1-Probs_Hombres!M2)</f>
        <v>99151.86737383451</v>
      </c>
      <c r="N3">
        <f>+N2*(1-Probs_Hombres!N2)</f>
        <v>99151.920191242782</v>
      </c>
      <c r="O3">
        <f>+O2*(1-Probs_Hombres!O2)</f>
        <v>99151.956049040557</v>
      </c>
      <c r="P3">
        <f>+P2*(1-Probs_Hombres!P2)</f>
        <v>99151.980393346617</v>
      </c>
      <c r="Q3">
        <f>+Q2*(1-Probs_Hombres!Q2)</f>
        <v>99151.996921187107</v>
      </c>
      <c r="R3">
        <f>+R2*(1-Probs_Hombres!R2)</f>
        <v>99152.00814235791</v>
      </c>
      <c r="S3">
        <f>+S2*(1-Probs_Hombres!S2)</f>
        <v>99152.015760735681</v>
      </c>
      <c r="T3">
        <f>+T2*(1-Probs_Hombres!T2)</f>
        <v>99152.020933091306</v>
      </c>
      <c r="U3">
        <f>+U2*(1-Probs_Hombres!U2)</f>
        <v>99152.024444774259</v>
      </c>
      <c r="V3">
        <f>+V2*(1-Probs_Hombres!V2)</f>
        <v>99152.026828975606</v>
      </c>
      <c r="W3">
        <f>+W2*(1-Probs_Hombres!W2)</f>
        <v>99152.028447693039</v>
      </c>
      <c r="X3">
        <f>+X2*(1-Probs_Hombres!X2)</f>
        <v>99152.02954669758</v>
      </c>
      <c r="Y3">
        <f>+Y2*(1-Probs_Hombres!Y2)</f>
        <v>99152.030292851035</v>
      </c>
      <c r="Z3">
        <f>+Z2*(1-Probs_Hombres!Z2)</f>
        <v>99152.030799441432</v>
      </c>
      <c r="AA3">
        <f>+AA2*(1-Probs_Hombres!AA2)</f>
        <v>99152.031143383982</v>
      </c>
      <c r="AB3">
        <f>+AB2*(1-Probs_Hombres!AB2)</f>
        <v>99152.031376899016</v>
      </c>
      <c r="AC3">
        <f>+AC2*(1-Probs_Hombres!AC2)</f>
        <v>99152.031535440867</v>
      </c>
      <c r="AD3">
        <f>+AD2*(1-Probs_Hombres!AD2)</f>
        <v>99152.031643080685</v>
      </c>
      <c r="AE3">
        <f>+AE2*(1-Probs_Hombres!AE2)</f>
        <v>99152.031716161277</v>
      </c>
      <c r="AF3">
        <f>+AF2*(1-Probs_Hombres!AF2)</f>
        <v>99152.03176577836</v>
      </c>
      <c r="AG3">
        <f>+AG2*(1-Probs_Hombres!AG2)</f>
        <v>99152.0317994652</v>
      </c>
      <c r="AH3">
        <f>+AH2*(1-Probs_Hombres!AH2)</f>
        <v>99152.03182233643</v>
      </c>
    </row>
    <row r="4" spans="1:34" x14ac:dyDescent="0.25">
      <c r="A4">
        <f>+Probs_Hombres!A4</f>
        <v>2</v>
      </c>
      <c r="B4">
        <f>+B3*(1-Probs_Hombres!B3)</f>
        <v>98854.510787547551</v>
      </c>
      <c r="C4">
        <f>+C3*(1-Probs_Hombres!C3)</f>
        <v>98860.274705059666</v>
      </c>
      <c r="D4">
        <f>+D3*(1-Probs_Hombres!D3)</f>
        <v>98864.170787775351</v>
      </c>
      <c r="E4">
        <f>+E3*(1-Probs_Hombres!E3)</f>
        <v>98866.808059531657</v>
      </c>
      <c r="F4">
        <f>+F3*(1-Probs_Hombres!F3)</f>
        <v>98868.594958028742</v>
      </c>
      <c r="G4">
        <f>+G3*(1-Probs_Hombres!G3)</f>
        <v>98869.806473053948</v>
      </c>
      <c r="H4">
        <f>+H3*(1-Probs_Hombres!H3)</f>
        <v>98870.628243387895</v>
      </c>
      <c r="I4">
        <f>+I3*(1-Probs_Hombres!I3)</f>
        <v>98871.185817951235</v>
      </c>
      <c r="J4">
        <f>+J3*(1-Probs_Hombres!J3)</f>
        <v>98871.564211977791</v>
      </c>
      <c r="K4">
        <f>+K3*(1-Probs_Hombres!K3)</f>
        <v>98871.821042062074</v>
      </c>
      <c r="L4">
        <f>+L3*(1-Probs_Hombres!L3)</f>
        <v>98871.995378616179</v>
      </c>
      <c r="M4">
        <f>+M3*(1-Probs_Hombres!M3)</f>
        <v>98872.113726042095</v>
      </c>
      <c r="N4">
        <f>+N3*(1-Probs_Hombres!N3)</f>
        <v>98872.194069042511</v>
      </c>
      <c r="O4">
        <f>+O3*(1-Probs_Hombres!O3)</f>
        <v>98872.248613432428</v>
      </c>
      <c r="P4">
        <f>+P3*(1-Probs_Hombres!P3)</f>
        <v>98872.285644039293</v>
      </c>
      <c r="Q4">
        <f>+Q3*(1-Probs_Hombres!Q3)</f>
        <v>98872.31078474567</v>
      </c>
      <c r="R4">
        <f>+R3*(1-Probs_Hombres!R3)</f>
        <v>98872.327853354756</v>
      </c>
      <c r="S4">
        <f>+S3*(1-Probs_Hombres!S3)</f>
        <v>98872.339441702279</v>
      </c>
      <c r="T4">
        <f>+T3*(1-Probs_Hombres!T3)</f>
        <v>98872.347309383171</v>
      </c>
      <c r="U4">
        <f>+U3*(1-Probs_Hombres!U3)</f>
        <v>98872.352651005989</v>
      </c>
      <c r="V4">
        <f>+V3*(1-Probs_Hombres!V3)</f>
        <v>98872.356277613449</v>
      </c>
      <c r="W4">
        <f>+W3*(1-Probs_Hombres!W3)</f>
        <v>98872.358739842573</v>
      </c>
      <c r="X4">
        <f>+X3*(1-Probs_Hombres!X3)</f>
        <v>98872.360411536516</v>
      </c>
      <c r="Y4">
        <f>+Y3*(1-Probs_Hombres!Y3)</f>
        <v>98872.361546509026</v>
      </c>
      <c r="Z4">
        <f>+Z3*(1-Probs_Hombres!Z3)</f>
        <v>98872.362317082559</v>
      </c>
      <c r="AA4">
        <f>+AA3*(1-Probs_Hombres!AA3)</f>
        <v>98872.362840252725</v>
      </c>
      <c r="AB4">
        <f>+AB3*(1-Probs_Hombres!AB3)</f>
        <v>98872.363195451879</v>
      </c>
      <c r="AC4">
        <f>+AC3*(1-Probs_Hombres!AC3)</f>
        <v>98872.363436609463</v>
      </c>
      <c r="AD4">
        <f>+AD3*(1-Probs_Hombres!AD3)</f>
        <v>98872.363600340119</v>
      </c>
      <c r="AE4">
        <f>+AE3*(1-Probs_Hombres!AE3)</f>
        <v>98872.363711502825</v>
      </c>
      <c r="AF4">
        <f>+AF3*(1-Probs_Hombres!AF3)</f>
        <v>98872.363786975227</v>
      </c>
      <c r="AG4">
        <f>+AG3*(1-Probs_Hombres!AG3)</f>
        <v>98872.363838216188</v>
      </c>
      <c r="AH4">
        <f>+AH3*(1-Probs_Hombres!AH3)</f>
        <v>98872.363873005554</v>
      </c>
    </row>
    <row r="5" spans="1:34" x14ac:dyDescent="0.25">
      <c r="A5">
        <f>+Probs_Hombres!A5</f>
        <v>3</v>
      </c>
      <c r="B5">
        <f>+B4*(1-Probs_Hombres!B4)</f>
        <v>98776.458682802855</v>
      </c>
      <c r="C5">
        <f>+C4*(1-Probs_Hombres!C4)</f>
        <v>98782.99293123497</v>
      </c>
      <c r="D5">
        <f>+D4*(1-Probs_Hombres!D4)</f>
        <v>98787.407697211514</v>
      </c>
      <c r="E5">
        <f>+E4*(1-Probs_Hombres!E4)</f>
        <v>98790.395143398142</v>
      </c>
      <c r="F5">
        <f>+F4*(1-Probs_Hombres!F4)</f>
        <v>98792.418880394951</v>
      </c>
      <c r="G5">
        <f>+G4*(1-Probs_Hombres!G4)</f>
        <v>98793.790776659996</v>
      </c>
      <c r="H5">
        <f>+H4*(1-Probs_Hombres!H4)</f>
        <v>98794.721243844353</v>
      </c>
      <c r="I5">
        <f>+I4*(1-Probs_Hombres!I4)</f>
        <v>98795.352528373623</v>
      </c>
      <c r="J5">
        <f>+J4*(1-Probs_Hombres!J4)</f>
        <v>98795.780926127598</v>
      </c>
      <c r="K5">
        <f>+K4*(1-Probs_Hombres!K4)</f>
        <v>98796.071686837982</v>
      </c>
      <c r="L5">
        <f>+L4*(1-Probs_Hombres!L4)</f>
        <v>98796.26905150275</v>
      </c>
      <c r="M5">
        <f>+M4*(1-Probs_Hombres!M4)</f>
        <v>98796.40302957657</v>
      </c>
      <c r="N5">
        <f>+N4*(1-Probs_Hombres!N4)</f>
        <v>98796.493982961387</v>
      </c>
      <c r="O5">
        <f>+O4*(1-Probs_Hombres!O4)</f>
        <v>98796.555730283624</v>
      </c>
      <c r="P5">
        <f>+P4*(1-Probs_Hombres!P4)</f>
        <v>98796.59765083465</v>
      </c>
      <c r="Q5">
        <f>+Q4*(1-Probs_Hombres!Q4)</f>
        <v>98796.626111322999</v>
      </c>
      <c r="R5">
        <f>+R4*(1-Probs_Hombres!R4)</f>
        <v>98796.645433770434</v>
      </c>
      <c r="S5">
        <f>+S4*(1-Probs_Hombres!S4)</f>
        <v>98796.65855229288</v>
      </c>
      <c r="T5">
        <f>+T4*(1-Probs_Hombres!T4)</f>
        <v>98796.667458847747</v>
      </c>
      <c r="U5">
        <f>+U4*(1-Probs_Hombres!U4)</f>
        <v>98796.6735057919</v>
      </c>
      <c r="V5">
        <f>+V4*(1-Probs_Hombres!V4)</f>
        <v>98796.677611263993</v>
      </c>
      <c r="W5">
        <f>+W4*(1-Probs_Hombres!W4)</f>
        <v>98796.680398610057</v>
      </c>
      <c r="X5">
        <f>+X4*(1-Probs_Hombres!X4)</f>
        <v>98796.682291036952</v>
      </c>
      <c r="Y5">
        <f>+Y4*(1-Probs_Hombres!Y4)</f>
        <v>98796.683575872754</v>
      </c>
      <c r="Z5">
        <f>+Z4*(1-Probs_Hombres!Z4)</f>
        <v>98796.684448193759</v>
      </c>
      <c r="AA5">
        <f>+AA4*(1-Probs_Hombres!AA4)</f>
        <v>98796.685040443932</v>
      </c>
      <c r="AB5">
        <f>+AB4*(1-Probs_Hombres!AB4)</f>
        <v>98796.685442543981</v>
      </c>
      <c r="AC5">
        <f>+AC4*(1-Probs_Hombres!AC4)</f>
        <v>98796.68571554427</v>
      </c>
      <c r="AD5">
        <f>+AD4*(1-Probs_Hombres!AD4)</f>
        <v>98796.685900894096</v>
      </c>
      <c r="AE5">
        <f>+AE4*(1-Probs_Hombres!AE4)</f>
        <v>98796.686026734853</v>
      </c>
      <c r="AF5">
        <f>+AF4*(1-Probs_Hombres!AF4)</f>
        <v>98796.686112172698</v>
      </c>
      <c r="AG5">
        <f>+AG4*(1-Probs_Hombres!AG4)</f>
        <v>98796.686170179571</v>
      </c>
      <c r="AH5">
        <f>+AH4*(1-Probs_Hombres!AH4)</f>
        <v>98796.686209562555</v>
      </c>
    </row>
    <row r="6" spans="1:34" x14ac:dyDescent="0.25">
      <c r="A6">
        <f>+Probs_Hombres!A6</f>
        <v>4</v>
      </c>
      <c r="B6">
        <f>+B5*(1-Probs_Hombres!B5)</f>
        <v>98731.466737042603</v>
      </c>
      <c r="C6">
        <f>+C5*(1-Probs_Hombres!C5)</f>
        <v>98738.393845968239</v>
      </c>
      <c r="D6">
        <f>+D5*(1-Probs_Hombres!D5)</f>
        <v>98743.073392536971</v>
      </c>
      <c r="E6">
        <f>+E5*(1-Probs_Hombres!E5)</f>
        <v>98746.239716089229</v>
      </c>
      <c r="F6">
        <f>+F5*(1-Probs_Hombres!F5)</f>
        <v>98748.384490075099</v>
      </c>
      <c r="G6">
        <f>+G5*(1-Probs_Hombres!G5)</f>
        <v>98749.838374596962</v>
      </c>
      <c r="H6">
        <f>+H5*(1-Probs_Hombres!H5)</f>
        <v>98750.82442002857</v>
      </c>
      <c r="I6">
        <f>+I5*(1-Probs_Hombres!I5)</f>
        <v>98751.493398803985</v>
      </c>
      <c r="J6">
        <f>+J5*(1-Probs_Hombres!J5)</f>
        <v>98751.947370202281</v>
      </c>
      <c r="K6">
        <f>+K5*(1-Probs_Hombres!K5)</f>
        <v>98752.25548533714</v>
      </c>
      <c r="L6">
        <f>+L5*(1-Probs_Hombres!L5)</f>
        <v>98752.464628657646</v>
      </c>
      <c r="M6">
        <f>+M5*(1-Probs_Hombres!M5)</f>
        <v>98752.606601895037</v>
      </c>
      <c r="N6">
        <f>+N5*(1-Probs_Hombres!N5)</f>
        <v>98752.702982660543</v>
      </c>
      <c r="O6">
        <f>+O5*(1-Probs_Hombres!O5)</f>
        <v>98752.768414448088</v>
      </c>
      <c r="P6">
        <f>+P5*(1-Probs_Hombres!P5)</f>
        <v>98752.812836341196</v>
      </c>
      <c r="Q6">
        <f>+Q5*(1-Probs_Hombres!Q5)</f>
        <v>98752.842995000887</v>
      </c>
      <c r="R6">
        <f>+R5*(1-Probs_Hombres!R5)</f>
        <v>98752.863470361423</v>
      </c>
      <c r="S6">
        <f>+S5*(1-Probs_Hombres!S5)</f>
        <v>98752.877371621405</v>
      </c>
      <c r="T6">
        <f>+T5*(1-Probs_Hombres!T5)</f>
        <v>98752.886809597403</v>
      </c>
      <c r="U6">
        <f>+U5*(1-Probs_Hombres!U5)</f>
        <v>98752.893217339064</v>
      </c>
      <c r="V6">
        <f>+V5*(1-Probs_Hombres!V5)</f>
        <v>98752.897567768072</v>
      </c>
      <c r="W6">
        <f>+W5*(1-Probs_Hombres!W5)</f>
        <v>98752.900521423537</v>
      </c>
      <c r="X6">
        <f>+X5*(1-Probs_Hombres!X5)</f>
        <v>98752.902526763573</v>
      </c>
      <c r="Y6">
        <f>+Y5*(1-Probs_Hombres!Y5)</f>
        <v>98752.903888260087</v>
      </c>
      <c r="Z6">
        <f>+Z5*(1-Probs_Hombres!Z5)</f>
        <v>98752.904812628753</v>
      </c>
      <c r="AA6">
        <f>+AA5*(1-Probs_Hombres!AA5)</f>
        <v>98752.905440215938</v>
      </c>
      <c r="AB6">
        <f>+AB5*(1-Probs_Hombres!AB5)</f>
        <v>98752.90586630757</v>
      </c>
      <c r="AC6">
        <f>+AC5*(1-Probs_Hombres!AC5)</f>
        <v>98752.906155596604</v>
      </c>
      <c r="AD6">
        <f>+AD5*(1-Probs_Hombres!AD5)</f>
        <v>98752.906352005448</v>
      </c>
      <c r="AE6">
        <f>+AE5*(1-Probs_Hombres!AE5)</f>
        <v>98752.906485354586</v>
      </c>
      <c r="AF6">
        <f>+AF5*(1-Probs_Hombres!AF5)</f>
        <v>98752.906575890142</v>
      </c>
      <c r="AG6">
        <f>+AG5*(1-Probs_Hombres!AG5)</f>
        <v>98752.906637358028</v>
      </c>
      <c r="AH6">
        <f>+AH5*(1-Probs_Hombres!AH5)</f>
        <v>98752.906679090825</v>
      </c>
    </row>
    <row r="7" spans="1:34" x14ac:dyDescent="0.25">
      <c r="A7">
        <f>+Probs_Hombres!A7</f>
        <v>5</v>
      </c>
      <c r="B7">
        <f>+B6*(1-Probs_Hombres!B6)</f>
        <v>98677.29644451011</v>
      </c>
      <c r="C7">
        <f>+C6*(1-Probs_Hombres!C6)</f>
        <v>98684.512863911747</v>
      </c>
      <c r="D7">
        <f>+D6*(1-Probs_Hombres!D6)</f>
        <v>98689.387965948088</v>
      </c>
      <c r="E7">
        <f>+E6*(1-Probs_Hombres!E6)</f>
        <v>98692.68666059665</v>
      </c>
      <c r="F7">
        <f>+F6*(1-Probs_Hombres!F6)</f>
        <v>98694.921122843662</v>
      </c>
      <c r="G7">
        <f>+G6*(1-Probs_Hombres!G6)</f>
        <v>98696.435815643519</v>
      </c>
      <c r="H7">
        <f>+H6*(1-Probs_Hombres!H6)</f>
        <v>98697.463107193718</v>
      </c>
      <c r="I7">
        <f>+I6*(1-Probs_Hombres!I6)</f>
        <v>98698.160071574021</v>
      </c>
      <c r="J7">
        <f>+J6*(1-Probs_Hombres!J6)</f>
        <v>98698.633035178238</v>
      </c>
      <c r="K7">
        <f>+K6*(1-Probs_Hombres!K6)</f>
        <v>98698.95404101655</v>
      </c>
      <c r="L7">
        <f>+L6*(1-Probs_Hombres!L6)</f>
        <v>98699.171934555547</v>
      </c>
      <c r="M7">
        <f>+M6*(1-Probs_Hombres!M6)</f>
        <v>98699.319847828738</v>
      </c>
      <c r="N7">
        <f>+N6*(1-Probs_Hombres!N6)</f>
        <v>98699.420261129388</v>
      </c>
      <c r="O7">
        <f>+O6*(1-Probs_Hombres!O6)</f>
        <v>98699.488430580735</v>
      </c>
      <c r="P7">
        <f>+P6*(1-Probs_Hombres!P6)</f>
        <v>98699.534711094646</v>
      </c>
      <c r="Q7">
        <f>+Q6*(1-Probs_Hombres!Q6)</f>
        <v>98699.566131603366</v>
      </c>
      <c r="R7">
        <f>+R6*(1-Probs_Hombres!R6)</f>
        <v>98699.587463662436</v>
      </c>
      <c r="S7">
        <f>+S6*(1-Probs_Hombres!S6)</f>
        <v>98699.60194655857</v>
      </c>
      <c r="T7">
        <f>+T6*(1-Probs_Hombres!T6)</f>
        <v>98699.611779424988</v>
      </c>
      <c r="U7">
        <f>+U6*(1-Probs_Hombres!U6)</f>
        <v>98699.618455270509</v>
      </c>
      <c r="V7">
        <f>+V6*(1-Probs_Hombres!V6)</f>
        <v>98699.622987724244</v>
      </c>
      <c r="W7">
        <f>+W6*(1-Probs_Hombres!W6)</f>
        <v>98699.626064962591</v>
      </c>
      <c r="X7">
        <f>+X6*(1-Probs_Hombres!X6)</f>
        <v>98699.628154207385</v>
      </c>
      <c r="Y7">
        <f>+Y6*(1-Probs_Hombres!Y6)</f>
        <v>98699.62957266983</v>
      </c>
      <c r="Z7">
        <f>+Z6*(1-Probs_Hombres!Z6)</f>
        <v>98699.630535714707</v>
      </c>
      <c r="AA7">
        <f>+AA6*(1-Probs_Hombres!AA6)</f>
        <v>98699.631189560561</v>
      </c>
      <c r="AB7">
        <f>+AB6*(1-Probs_Hombres!AB6)</f>
        <v>98699.631633480167</v>
      </c>
      <c r="AC7">
        <f>+AC6*(1-Probs_Hombres!AC6)</f>
        <v>98699.63193487325</v>
      </c>
      <c r="AD7">
        <f>+AD6*(1-Probs_Hombres!AD6)</f>
        <v>98699.632139499969</v>
      </c>
      <c r="AE7">
        <f>+AE6*(1-Probs_Hombres!AE6)</f>
        <v>98699.632278428529</v>
      </c>
      <c r="AF7">
        <f>+AF6*(1-Probs_Hombres!AF6)</f>
        <v>98699.632372752152</v>
      </c>
      <c r="AG7">
        <f>+AG6*(1-Probs_Hombres!AG6)</f>
        <v>98699.632436791901</v>
      </c>
      <c r="AH7">
        <f>+AH6*(1-Probs_Hombres!AH6)</f>
        <v>98699.632480270826</v>
      </c>
    </row>
    <row r="8" spans="1:34" x14ac:dyDescent="0.25">
      <c r="A8">
        <f>+Probs_Hombres!A8</f>
        <v>6</v>
      </c>
      <c r="B8">
        <f>+B7*(1-Probs_Hombres!B7)</f>
        <v>98623.768709992932</v>
      </c>
      <c r="C8">
        <f>+C7*(1-Probs_Hombres!C7)</f>
        <v>98631.199628314047</v>
      </c>
      <c r="D8">
        <f>+D7*(1-Probs_Hombres!D7)</f>
        <v>98636.219884819162</v>
      </c>
      <c r="E8">
        <f>+E7*(1-Probs_Hombres!E7)</f>
        <v>98639.616910970639</v>
      </c>
      <c r="F8">
        <f>+F7*(1-Probs_Hombres!F7)</f>
        <v>98641.918033214475</v>
      </c>
      <c r="G8">
        <f>+G7*(1-Probs_Hombres!G7)</f>
        <v>98643.477937486532</v>
      </c>
      <c r="H8">
        <f>+H7*(1-Probs_Hombres!H7)</f>
        <v>98644.535903368742</v>
      </c>
      <c r="I8">
        <f>+I7*(1-Probs_Hombres!I7)</f>
        <v>98645.253683819436</v>
      </c>
      <c r="J8">
        <f>+J7*(1-Probs_Hombres!J7)</f>
        <v>98645.740775673185</v>
      </c>
      <c r="K8">
        <f>+K7*(1-Probs_Hombres!K7)</f>
        <v>98646.071371603204</v>
      </c>
      <c r="L8">
        <f>+L7*(1-Probs_Hombres!L7)</f>
        <v>98646.295775240986</v>
      </c>
      <c r="M8">
        <f>+M7*(1-Probs_Hombres!M7)</f>
        <v>98646.448108013239</v>
      </c>
      <c r="N8">
        <f>+N7*(1-Probs_Hombres!N7)</f>
        <v>98646.551521668123</v>
      </c>
      <c r="O8">
        <f>+O7*(1-Probs_Hombres!O7)</f>
        <v>98646.62172807497</v>
      </c>
      <c r="P8">
        <f>+P7*(1-Probs_Hombres!P7)</f>
        <v>98646.669391508723</v>
      </c>
      <c r="Q8">
        <f>+Q7*(1-Probs_Hombres!Q7)</f>
        <v>98646.701750912092</v>
      </c>
      <c r="R8">
        <f>+R7*(1-Probs_Hombres!R7)</f>
        <v>98646.723720411741</v>
      </c>
      <c r="S8">
        <f>+S7*(1-Probs_Hombres!S7)</f>
        <v>98646.738636085254</v>
      </c>
      <c r="T8">
        <f>+T7*(1-Probs_Hombres!T7)</f>
        <v>98646.74876277805</v>
      </c>
      <c r="U8">
        <f>+U7*(1-Probs_Hombres!U7)</f>
        <v>98646.755638112125</v>
      </c>
      <c r="V8">
        <f>+V7*(1-Probs_Hombres!V7)</f>
        <v>98646.760306005483</v>
      </c>
      <c r="W8">
        <f>+W7*(1-Probs_Hombres!W7)</f>
        <v>98646.763475198532</v>
      </c>
      <c r="X8">
        <f>+X7*(1-Probs_Hombres!X7)</f>
        <v>98646.765626874636</v>
      </c>
      <c r="Y8">
        <f>+Y7*(1-Probs_Hombres!Y7)</f>
        <v>98646.767087723943</v>
      </c>
      <c r="Z8">
        <f>+Z7*(1-Probs_Hombres!Z7)</f>
        <v>98646.76807954679</v>
      </c>
      <c r="AA8">
        <f>+AA7*(1-Probs_Hombres!AA7)</f>
        <v>98646.768752931035</v>
      </c>
      <c r="AB8">
        <f>+AB7*(1-Probs_Hombres!AB7)</f>
        <v>98646.769210115977</v>
      </c>
      <c r="AC8">
        <f>+AC7*(1-Probs_Hombres!AC7)</f>
        <v>98646.769520515372</v>
      </c>
      <c r="AD8">
        <f>+AD7*(1-Probs_Hombres!AD7)</f>
        <v>98646.769731256805</v>
      </c>
      <c r="AE8">
        <f>+AE7*(1-Probs_Hombres!AE7)</f>
        <v>98646.769874336867</v>
      </c>
      <c r="AF8">
        <f>+AF7*(1-Probs_Hombres!AF7)</f>
        <v>98646.769971479094</v>
      </c>
      <c r="AG8">
        <f>+AG7*(1-Probs_Hombres!AG7)</f>
        <v>98646.770037432492</v>
      </c>
      <c r="AH8">
        <f>+AH7*(1-Probs_Hombres!AH7)</f>
        <v>98646.770082210671</v>
      </c>
    </row>
    <row r="9" spans="1:34" x14ac:dyDescent="0.25">
      <c r="A9">
        <f>+Probs_Hombres!A9</f>
        <v>7</v>
      </c>
      <c r="B9">
        <f>+B8*(1-Probs_Hombres!B8)</f>
        <v>98578.497032004234</v>
      </c>
      <c r="C9">
        <f>+C8*(1-Probs_Hombres!C8)</f>
        <v>98586.104015470264</v>
      </c>
      <c r="D9">
        <f>+D8*(1-Probs_Hombres!D8)</f>
        <v>98591.243430176313</v>
      </c>
      <c r="E9">
        <f>+E8*(1-Probs_Hombres!E8)</f>
        <v>98594.721182974856</v>
      </c>
      <c r="F9">
        <f>+F8*(1-Probs_Hombres!F8)</f>
        <v>98597.077033318943</v>
      </c>
      <c r="G9">
        <f>+G8*(1-Probs_Hombres!G8)</f>
        <v>98598.674057583907</v>
      </c>
      <c r="H9">
        <f>+H8*(1-Probs_Hombres!H8)</f>
        <v>98599.757208582203</v>
      </c>
      <c r="I9">
        <f>+I8*(1-Probs_Hombres!I8)</f>
        <v>98600.492080294149</v>
      </c>
      <c r="J9">
        <f>+J8*(1-Probs_Hombres!J8)</f>
        <v>98600.990772419289</v>
      </c>
      <c r="K9">
        <f>+K8*(1-Probs_Hombres!K8)</f>
        <v>98601.32924253332</v>
      </c>
      <c r="L9">
        <f>+L8*(1-Probs_Hombres!L8)</f>
        <v>98601.55899147522</v>
      </c>
      <c r="M9">
        <f>+M8*(1-Probs_Hombres!M8)</f>
        <v>98601.714953016053</v>
      </c>
      <c r="N9">
        <f>+N8*(1-Probs_Hombres!N8)</f>
        <v>98601.820830211393</v>
      </c>
      <c r="O9">
        <f>+O8*(1-Probs_Hombres!O8)</f>
        <v>98601.89270913064</v>
      </c>
      <c r="P9">
        <f>+P8*(1-Probs_Hombres!P8)</f>
        <v>98601.941508059448</v>
      </c>
      <c r="Q9">
        <f>+Q8*(1-Probs_Hombres!Q8)</f>
        <v>98601.974638375861</v>
      </c>
      <c r="R9">
        <f>+R8*(1-Probs_Hombres!R8)</f>
        <v>98601.997131269149</v>
      </c>
      <c r="S9">
        <f>+S8*(1-Probs_Hombres!S8)</f>
        <v>98602.012402290289</v>
      </c>
      <c r="T9">
        <f>+T8*(1-Probs_Hombres!T8)</f>
        <v>98602.022770239986</v>
      </c>
      <c r="U9">
        <f>+U8*(1-Probs_Hombres!U8)</f>
        <v>98602.029809371452</v>
      </c>
      <c r="V9">
        <f>+V8*(1-Probs_Hombres!V8)</f>
        <v>98602.03458847251</v>
      </c>
      <c r="W9">
        <f>+W8*(1-Probs_Hombres!W8)</f>
        <v>98602.037833168361</v>
      </c>
      <c r="X9">
        <f>+X8*(1-Probs_Hombres!X8)</f>
        <v>98602.040036105987</v>
      </c>
      <c r="Y9">
        <f>+Y8*(1-Probs_Hombres!Y8)</f>
        <v>98602.041531758601</v>
      </c>
      <c r="Z9">
        <f>+Z8*(1-Probs_Hombres!Z8)</f>
        <v>98602.042547210644</v>
      </c>
      <c r="AA9">
        <f>+AA8*(1-Probs_Hombres!AA8)</f>
        <v>98602.043236637619</v>
      </c>
      <c r="AB9">
        <f>+AB8*(1-Probs_Hombres!AB8)</f>
        <v>98602.043704714553</v>
      </c>
      <c r="AC9">
        <f>+AC8*(1-Probs_Hombres!AC8)</f>
        <v>98602.044022508911</v>
      </c>
      <c r="AD9">
        <f>+AD8*(1-Probs_Hombres!AD8)</f>
        <v>98602.044238271061</v>
      </c>
      <c r="AE9">
        <f>+AE8*(1-Probs_Hombres!AE8)</f>
        <v>98602.044384759865</v>
      </c>
      <c r="AF9">
        <f>+AF8*(1-Probs_Hombres!AF8)</f>
        <v>98602.0444842164</v>
      </c>
      <c r="AG9">
        <f>+AG8*(1-Probs_Hombres!AG8)</f>
        <v>98602.044551741084</v>
      </c>
      <c r="AH9">
        <f>+AH8*(1-Probs_Hombres!AH8)</f>
        <v>98602.044597586064</v>
      </c>
    </row>
    <row r="10" spans="1:34" x14ac:dyDescent="0.25">
      <c r="A10">
        <f>+Probs_Hombres!A10</f>
        <v>8</v>
      </c>
      <c r="B10">
        <f>+B9*(1-Probs_Hombres!B9)</f>
        <v>98538.887340669258</v>
      </c>
      <c r="C10">
        <f>+C9*(1-Probs_Hombres!C9)</f>
        <v>98546.651349384018</v>
      </c>
      <c r="D10">
        <f>+D9*(1-Probs_Hombres!D9)</f>
        <v>98551.897029598622</v>
      </c>
      <c r="E10">
        <f>+E9*(1-Probs_Hombres!E9)</f>
        <v>98555.446771454619</v>
      </c>
      <c r="F10">
        <f>+F9*(1-Probs_Hombres!F9)</f>
        <v>98557.851424872046</v>
      </c>
      <c r="G10">
        <f>+G9*(1-Probs_Hombres!G9)</f>
        <v>98559.481549748118</v>
      </c>
      <c r="H10">
        <f>+H9*(1-Probs_Hombres!H9)</f>
        <v>98560.587158494032</v>
      </c>
      <c r="I10">
        <f>+I9*(1-Probs_Hombres!I9)</f>
        <v>98561.337270465228</v>
      </c>
      <c r="J10">
        <f>+J9*(1-Probs_Hombres!J9)</f>
        <v>98561.846306475243</v>
      </c>
      <c r="K10">
        <f>+K9*(1-Probs_Hombres!K9)</f>
        <v>98562.191797917025</v>
      </c>
      <c r="L10">
        <f>+L9*(1-Probs_Hombres!L9)</f>
        <v>98562.426313197124</v>
      </c>
      <c r="M10">
        <f>+M9*(1-Probs_Hombres!M9)</f>
        <v>98562.585510457386</v>
      </c>
      <c r="N10">
        <f>+N9*(1-Probs_Hombres!N9)</f>
        <v>98562.693584352528</v>
      </c>
      <c r="O10">
        <f>+O9*(1-Probs_Hombres!O9)</f>
        <v>98562.76695462309</v>
      </c>
      <c r="P10">
        <f>+P9*(1-Probs_Hombres!P9)</f>
        <v>98562.81676605322</v>
      </c>
      <c r="Q10">
        <f>+Q9*(1-Probs_Hombres!Q9)</f>
        <v>98562.850583779189</v>
      </c>
      <c r="R10">
        <f>+R9*(1-Probs_Hombres!R9)</f>
        <v>98562.873543373207</v>
      </c>
      <c r="S10">
        <f>+S9*(1-Probs_Hombres!S9)</f>
        <v>98562.889131251417</v>
      </c>
      <c r="T10">
        <f>+T9*(1-Probs_Hombres!T9)</f>
        <v>98562.899714325511</v>
      </c>
      <c r="U10">
        <f>+U9*(1-Probs_Hombres!U9)</f>
        <v>98562.90689951212</v>
      </c>
      <c r="V10">
        <f>+V9*(1-Probs_Hombres!V9)</f>
        <v>98562.911777775036</v>
      </c>
      <c r="W10">
        <f>+W9*(1-Probs_Hombres!W9)</f>
        <v>98562.915089795351</v>
      </c>
      <c r="X10">
        <f>+X9*(1-Probs_Hombres!X9)</f>
        <v>98562.917338441941</v>
      </c>
      <c r="Y10">
        <f>+Y9*(1-Probs_Hombres!Y9)</f>
        <v>98562.918865128013</v>
      </c>
      <c r="Z10">
        <f>+Z9*(1-Probs_Hombres!Z9)</f>
        <v>98562.919901649788</v>
      </c>
      <c r="AA10">
        <f>+AA9*(1-Probs_Hombres!AA9)</f>
        <v>98562.920605381762</v>
      </c>
      <c r="AB10">
        <f>+AB9*(1-Probs_Hombres!AB9)</f>
        <v>98562.921083170877</v>
      </c>
      <c r="AC10">
        <f>+AC9*(1-Probs_Hombres!AC9)</f>
        <v>98562.921407559203</v>
      </c>
      <c r="AD10">
        <f>+AD9*(1-Probs_Hombres!AD9)</f>
        <v>98562.92162779822</v>
      </c>
      <c r="AE10">
        <f>+AE9*(1-Probs_Hombres!AE9)</f>
        <v>98562.921777326541</v>
      </c>
      <c r="AF10">
        <f>+AF9*(1-Probs_Hombres!AF9)</f>
        <v>98562.921878846711</v>
      </c>
      <c r="AG10">
        <f>+AG9*(1-Probs_Hombres!AG9)</f>
        <v>98562.921947772469</v>
      </c>
      <c r="AH10">
        <f>+AH9*(1-Probs_Hombres!AH9)</f>
        <v>98562.921994568707</v>
      </c>
    </row>
    <row r="11" spans="1:34" x14ac:dyDescent="0.25">
      <c r="A11">
        <f>+Probs_Hombres!A11</f>
        <v>9</v>
      </c>
      <c r="B11">
        <f>+B10*(1-Probs_Hombres!B10)</f>
        <v>98501.29927661574</v>
      </c>
      <c r="C11">
        <f>+C10*(1-Probs_Hombres!C10)</f>
        <v>98509.213839182819</v>
      </c>
      <c r="D11">
        <f>+D10*(1-Probs_Hombres!D10)</f>
        <v>98514.56140195379</v>
      </c>
      <c r="E11">
        <f>+E10*(1-Probs_Hombres!E10)</f>
        <v>98518.180162052435</v>
      </c>
      <c r="F11">
        <f>+F10*(1-Probs_Hombres!F10)</f>
        <v>98520.631603819347</v>
      </c>
      <c r="G11">
        <f>+G10*(1-Probs_Hombres!G10)</f>
        <v>98522.293462482965</v>
      </c>
      <c r="H11">
        <f>+H10*(1-Probs_Hombres!H10)</f>
        <v>98523.420601471997</v>
      </c>
      <c r="I11">
        <f>+I10*(1-Probs_Hombres!I10)</f>
        <v>98524.18532420788</v>
      </c>
      <c r="J11">
        <f>+J10*(1-Probs_Hombres!J10)</f>
        <v>98524.704276818273</v>
      </c>
      <c r="K11">
        <f>+K10*(1-Probs_Hombres!K10)</f>
        <v>98525.05649953596</v>
      </c>
      <c r="L11">
        <f>+L10*(1-Probs_Hombres!L10)</f>
        <v>98525.295584249194</v>
      </c>
      <c r="M11">
        <f>+M10*(1-Probs_Hombres!M10)</f>
        <v>98525.457883552896</v>
      </c>
      <c r="N11">
        <f>+N10*(1-Probs_Hombres!N10)</f>
        <v>98525.568063394952</v>
      </c>
      <c r="O11">
        <f>+O10*(1-Probs_Hombres!O10)</f>
        <v>98525.642863403511</v>
      </c>
      <c r="P11">
        <f>+P10*(1-Probs_Hombres!P10)</f>
        <v>98525.69364550442</v>
      </c>
      <c r="Q11">
        <f>+Q10*(1-Probs_Hombres!Q10)</f>
        <v>98525.728122240122</v>
      </c>
      <c r="R11">
        <f>+R10*(1-Probs_Hombres!R10)</f>
        <v>98525.751529253394</v>
      </c>
      <c r="S11">
        <f>+S10*(1-Probs_Hombres!S10)</f>
        <v>98525.767420897871</v>
      </c>
      <c r="T11">
        <f>+T10*(1-Probs_Hombres!T10)</f>
        <v>98525.778210208577</v>
      </c>
      <c r="U11">
        <f>+U10*(1-Probs_Hombres!U10)</f>
        <v>98525.785535416115</v>
      </c>
      <c r="V11">
        <f>+V10*(1-Probs_Hombres!V10)</f>
        <v>98525.790508744045</v>
      </c>
      <c r="W11">
        <f>+W10*(1-Probs_Hombres!W10)</f>
        <v>98525.793885307343</v>
      </c>
      <c r="X11">
        <f>+X10*(1-Probs_Hombres!X10)</f>
        <v>98525.796177774449</v>
      </c>
      <c r="Y11">
        <f>+Y10*(1-Probs_Hombres!Y10)</f>
        <v>98525.797734211839</v>
      </c>
      <c r="Z11">
        <f>+Z10*(1-Probs_Hombres!Z10)</f>
        <v>98525.798790932851</v>
      </c>
      <c r="AA11">
        <f>+AA10*(1-Probs_Hombres!AA10)</f>
        <v>98525.799508378812</v>
      </c>
      <c r="AB11">
        <f>+AB10*(1-Probs_Hombres!AB10)</f>
        <v>98525.799995478868</v>
      </c>
      <c r="AC11">
        <f>+AC10*(1-Probs_Hombres!AC10)</f>
        <v>98525.800326188721</v>
      </c>
      <c r="AD11">
        <f>+AD10*(1-Probs_Hombres!AD10)</f>
        <v>98525.80055071965</v>
      </c>
      <c r="AE11">
        <f>+AE10*(1-Probs_Hombres!AE10)</f>
        <v>98525.800703161905</v>
      </c>
      <c r="AF11">
        <f>+AF10*(1-Probs_Hombres!AF10)</f>
        <v>98525.800806660453</v>
      </c>
      <c r="AG11">
        <f>+AG10*(1-Probs_Hombres!AG10)</f>
        <v>98525.80087692941</v>
      </c>
      <c r="AH11">
        <f>+AH10*(1-Probs_Hombres!AH10)</f>
        <v>98525.800924637588</v>
      </c>
    </row>
    <row r="12" spans="1:34" x14ac:dyDescent="0.25">
      <c r="A12">
        <f>+Probs_Hombres!A12</f>
        <v>10</v>
      </c>
      <c r="B12">
        <f>+B11*(1-Probs_Hombres!B11)</f>
        <v>98464.220128864079</v>
      </c>
      <c r="C12">
        <f>+C11*(1-Probs_Hombres!C11)</f>
        <v>98472.285624456155</v>
      </c>
      <c r="D12">
        <f>+D11*(1-Probs_Hombres!D11)</f>
        <v>98477.735320738007</v>
      </c>
      <c r="E12">
        <f>+E11*(1-Probs_Hombres!E11)</f>
        <v>98481.423266490165</v>
      </c>
      <c r="F12">
        <f>+F11*(1-Probs_Hombres!F11)</f>
        <v>98483.92160890314</v>
      </c>
      <c r="G12">
        <f>+G11*(1-Probs_Hombres!G11)</f>
        <v>98485.615276968936</v>
      </c>
      <c r="H12">
        <f>+H11*(1-Probs_Hombres!H11)</f>
        <v>98486.763997249785</v>
      </c>
      <c r="I12">
        <f>+I11*(1-Probs_Hombres!I11)</f>
        <v>98487.543365276215</v>
      </c>
      <c r="J12">
        <f>+J11*(1-Probs_Hombres!J11)</f>
        <v>98488.072257866588</v>
      </c>
      <c r="K12">
        <f>+K11*(1-Probs_Hombres!K11)</f>
        <v>98488.431227705209</v>
      </c>
      <c r="L12">
        <f>+L11*(1-Probs_Hombres!L11)</f>
        <v>98488.674892596362</v>
      </c>
      <c r="M12">
        <f>+M11*(1-Probs_Hombres!M11)</f>
        <v>98488.840301232543</v>
      </c>
      <c r="N12">
        <f>+N11*(1-Probs_Hombres!N11)</f>
        <v>98488.952591967522</v>
      </c>
      <c r="O12">
        <f>+O11*(1-Probs_Hombres!O11)</f>
        <v>98489.028825070855</v>
      </c>
      <c r="P12">
        <f>+P11*(1-Probs_Hombres!P11)</f>
        <v>98489.080580120964</v>
      </c>
      <c r="Q12">
        <f>+Q11*(1-Probs_Hombres!Q11)</f>
        <v>98489.115717413049</v>
      </c>
      <c r="R12">
        <f>+R11*(1-Probs_Hombres!R11)</f>
        <v>98489.139572895539</v>
      </c>
      <c r="S12">
        <f>+S11*(1-Probs_Hombres!S11)</f>
        <v>98489.155769019068</v>
      </c>
      <c r="T12">
        <f>+T11*(1-Probs_Hombres!T11)</f>
        <v>98489.166765050308</v>
      </c>
      <c r="U12">
        <f>+U11*(1-Probs_Hombres!U11)</f>
        <v>98489.174230607299</v>
      </c>
      <c r="V12">
        <f>+V11*(1-Probs_Hombres!V11)</f>
        <v>98489.179299223309</v>
      </c>
      <c r="W12">
        <f>+W11*(1-Probs_Hombres!W11)</f>
        <v>98489.182740481017</v>
      </c>
      <c r="X12">
        <f>+X11*(1-Probs_Hombres!X11)</f>
        <v>98489.18507687145</v>
      </c>
      <c r="Y12">
        <f>+Y11*(1-Probs_Hombres!Y11)</f>
        <v>98489.186663129949</v>
      </c>
      <c r="Z12">
        <f>+Z11*(1-Probs_Hombres!Z11)</f>
        <v>98489.187740097594</v>
      </c>
      <c r="AA12">
        <f>+AA11*(1-Probs_Hombres!AA11)</f>
        <v>98489.18847128973</v>
      </c>
      <c r="AB12">
        <f>+AB11*(1-Probs_Hombres!AB11)</f>
        <v>98489.188967722555</v>
      </c>
      <c r="AC12">
        <f>+AC11*(1-Probs_Hombres!AC11)</f>
        <v>98489.189304768763</v>
      </c>
      <c r="AD12">
        <f>+AD11*(1-Probs_Hombres!AD11)</f>
        <v>98489.18953360169</v>
      </c>
      <c r="AE12">
        <f>+AE11*(1-Probs_Hombres!AE11)</f>
        <v>98489.189688964718</v>
      </c>
      <c r="AF12">
        <f>+AF11*(1-Probs_Hombres!AF11)</f>
        <v>98489.189794446269</v>
      </c>
      <c r="AG12">
        <f>+AG11*(1-Probs_Hombres!AG11)</f>
        <v>98489.189866061584</v>
      </c>
      <c r="AH12">
        <f>+AH11*(1-Probs_Hombres!AH11)</f>
        <v>98489.18991468384</v>
      </c>
    </row>
    <row r="13" spans="1:34" x14ac:dyDescent="0.25">
      <c r="A13">
        <f>+Probs_Hombres!A13</f>
        <v>11</v>
      </c>
      <c r="B13">
        <f>+B12*(1-Probs_Hombres!B12)</f>
        <v>98426.344618531992</v>
      </c>
      <c r="C13">
        <f>+C12*(1-Probs_Hombres!C12)</f>
        <v>98434.56470314195</v>
      </c>
      <c r="D13">
        <f>+D12*(1-Probs_Hombres!D12)</f>
        <v>98440.119006024674</v>
      </c>
      <c r="E13">
        <f>+E12*(1-Probs_Hombres!E12)</f>
        <v>98443.877812319857</v>
      </c>
      <c r="F13">
        <f>+F12*(1-Probs_Hombres!F12)</f>
        <v>98446.424190598656</v>
      </c>
      <c r="G13">
        <f>+G12*(1-Probs_Hombres!G12)</f>
        <v>98448.15043792309</v>
      </c>
      <c r="H13">
        <f>+H12*(1-Probs_Hombres!H12)</f>
        <v>98449.321261771518</v>
      </c>
      <c r="I13">
        <f>+I12*(1-Probs_Hombres!I12)</f>
        <v>98450.115629492648</v>
      </c>
      <c r="J13">
        <f>+J12*(1-Probs_Hombres!J12)</f>
        <v>98450.654702594329</v>
      </c>
      <c r="K13">
        <f>+K12*(1-Probs_Hombres!K12)</f>
        <v>98451.020582819474</v>
      </c>
      <c r="L13">
        <f>+L12*(1-Probs_Hombres!L12)</f>
        <v>98451.268938717112</v>
      </c>
      <c r="M13">
        <f>+M12*(1-Probs_Hombres!M12)</f>
        <v>98451.437531922857</v>
      </c>
      <c r="N13">
        <f>+N12*(1-Probs_Hombres!N12)</f>
        <v>98451.551984628066</v>
      </c>
      <c r="O13">
        <f>+O12*(1-Probs_Hombres!O12)</f>
        <v>98451.629685502601</v>
      </c>
      <c r="P13">
        <f>+P12*(1-Probs_Hombres!P12)</f>
        <v>98451.68243704419</v>
      </c>
      <c r="Q13">
        <f>+Q12*(1-Probs_Hombres!Q12)</f>
        <v>98451.718250875972</v>
      </c>
      <c r="R13">
        <f>+R12*(1-Probs_Hombres!R12)</f>
        <v>98451.74256567916</v>
      </c>
      <c r="S13">
        <f>+S12*(1-Probs_Hombres!S12)</f>
        <v>98451.759073649126</v>
      </c>
      <c r="T13">
        <f>+T12*(1-Probs_Hombres!T12)</f>
        <v>98451.77028140286</v>
      </c>
      <c r="U13">
        <f>+U12*(1-Probs_Hombres!U12)</f>
        <v>98451.7778907053</v>
      </c>
      <c r="V13">
        <f>+V12*(1-Probs_Hombres!V12)</f>
        <v>98451.783056915025</v>
      </c>
      <c r="W13">
        <f>+W12*(1-Probs_Hombres!W12)</f>
        <v>98451.786564432536</v>
      </c>
      <c r="X13">
        <f>+X12*(1-Probs_Hombres!X12)</f>
        <v>98451.788945809094</v>
      </c>
      <c r="Y13">
        <f>+Y12*(1-Probs_Hombres!Y12)</f>
        <v>98451.790562610287</v>
      </c>
      <c r="Z13">
        <f>+Z12*(1-Probs_Hombres!Z12)</f>
        <v>98451.791660314455</v>
      </c>
      <c r="AA13">
        <f>+AA12*(1-Probs_Hombres!AA12)</f>
        <v>98451.792405585365</v>
      </c>
      <c r="AB13">
        <f>+AB12*(1-Probs_Hombres!AB12)</f>
        <v>98451.792911576806</v>
      </c>
      <c r="AC13">
        <f>+AC12*(1-Probs_Hombres!AC12)</f>
        <v>98451.793255112687</v>
      </c>
      <c r="AD13">
        <f>+AD12*(1-Probs_Hombres!AD12)</f>
        <v>98451.793488351686</v>
      </c>
      <c r="AE13">
        <f>+AE12*(1-Probs_Hombres!AE12)</f>
        <v>98451.793646706166</v>
      </c>
      <c r="AF13">
        <f>+AF12*(1-Probs_Hombres!AF12)</f>
        <v>98451.793754218714</v>
      </c>
      <c r="AG13">
        <f>+AG12*(1-Probs_Hombres!AG12)</f>
        <v>98451.793827212954</v>
      </c>
      <c r="AH13">
        <f>+AH12*(1-Probs_Hombres!AH12)</f>
        <v>98451.793876771408</v>
      </c>
    </row>
    <row r="14" spans="1:34" x14ac:dyDescent="0.25">
      <c r="A14">
        <f>+Probs_Hombres!A14</f>
        <v>12</v>
      </c>
      <c r="B14">
        <f>+B13*(1-Probs_Hombres!B13)</f>
        <v>98386.547845616238</v>
      </c>
      <c r="C14">
        <f>+C13*(1-Probs_Hombres!C13)</f>
        <v>98394.906286131358</v>
      </c>
      <c r="D14">
        <f>+D13*(1-Probs_Hombres!D13)</f>
        <v>98400.554260546778</v>
      </c>
      <c r="E14">
        <f>+E13*(1-Probs_Hombres!E13)</f>
        <v>98404.376542728438</v>
      </c>
      <c r="F14">
        <f>+F13*(1-Probs_Hombres!F13)</f>
        <v>98406.965961343711</v>
      </c>
      <c r="G14">
        <f>+G13*(1-Probs_Hombres!G13)</f>
        <v>98408.721404645155</v>
      </c>
      <c r="H14">
        <f>+H13*(1-Probs_Hombres!H13)</f>
        <v>98409.912038878872</v>
      </c>
      <c r="I14">
        <f>+I13*(1-Probs_Hombres!I13)</f>
        <v>98410.719851143149</v>
      </c>
      <c r="J14">
        <f>+J13*(1-Probs_Hombres!J13)</f>
        <v>98411.268049724065</v>
      </c>
      <c r="K14">
        <f>+K13*(1-Probs_Hombres!K13)</f>
        <v>98411.640124412457</v>
      </c>
      <c r="L14">
        <f>+L13*(1-Probs_Hombres!L13)</f>
        <v>98411.892685423649</v>
      </c>
      <c r="M14">
        <f>+M13*(1-Probs_Hombres!M13)</f>
        <v>98412.064133388441</v>
      </c>
      <c r="N14">
        <f>+N13*(1-Probs_Hombres!N13)</f>
        <v>98412.180524180367</v>
      </c>
      <c r="O14">
        <f>+O13*(1-Probs_Hombres!O13)</f>
        <v>98412.259540840416</v>
      </c>
      <c r="P14">
        <f>+P13*(1-Probs_Hombres!P13)</f>
        <v>98412.313185692678</v>
      </c>
      <c r="Q14">
        <f>+Q13*(1-Probs_Hombres!Q13)</f>
        <v>98412.349606014555</v>
      </c>
      <c r="R14">
        <f>+R13*(1-Probs_Hombres!R13)</f>
        <v>98412.374332580875</v>
      </c>
      <c r="S14">
        <f>+S13*(1-Probs_Hombres!S13)</f>
        <v>98412.391120109474</v>
      </c>
      <c r="T14">
        <f>+T13*(1-Probs_Hombres!T13)</f>
        <v>98412.402517664683</v>
      </c>
      <c r="U14">
        <f>+U13*(1-Probs_Hombres!U13)</f>
        <v>98412.410255829775</v>
      </c>
      <c r="V14">
        <f>+V13*(1-Probs_Hombres!V13)</f>
        <v>98412.415509528801</v>
      </c>
      <c r="W14">
        <f>+W13*(1-Probs_Hombres!W13)</f>
        <v>98412.419076445891</v>
      </c>
      <c r="X14">
        <f>+X13*(1-Probs_Hombres!X13)</f>
        <v>98412.421498150943</v>
      </c>
      <c r="Y14">
        <f>+Y13*(1-Probs_Hombres!Y13)</f>
        <v>98412.423142332584</v>
      </c>
      <c r="Z14">
        <f>+Z13*(1-Probs_Hombres!Z13)</f>
        <v>98412.424258626343</v>
      </c>
      <c r="AA14">
        <f>+AA13*(1-Probs_Hombres!AA13)</f>
        <v>98412.425016518391</v>
      </c>
      <c r="AB14">
        <f>+AB13*(1-Probs_Hombres!AB13)</f>
        <v>98412.425531078785</v>
      </c>
      <c r="AC14">
        <f>+AC13*(1-Probs_Hombres!AC13)</f>
        <v>98412.425880432449</v>
      </c>
      <c r="AD14">
        <f>+AD13*(1-Probs_Hombres!AD13)</f>
        <v>98412.426117621333</v>
      </c>
      <c r="AE14">
        <f>+AE13*(1-Probs_Hombres!AE13)</f>
        <v>98412.426278657542</v>
      </c>
      <c r="AF14">
        <f>+AF13*(1-Probs_Hombres!AF13)</f>
        <v>98412.42638799081</v>
      </c>
      <c r="AG14">
        <f>+AG13*(1-Probs_Hombres!AG13)</f>
        <v>98412.426462221221</v>
      </c>
      <c r="AH14">
        <f>+AH13*(1-Probs_Hombres!AH13)</f>
        <v>98412.426512618928</v>
      </c>
    </row>
    <row r="15" spans="1:34" x14ac:dyDescent="0.25">
      <c r="A15">
        <f>+Probs_Hombres!A15</f>
        <v>13</v>
      </c>
      <c r="B15">
        <f>+B14*(1-Probs_Hombres!B14)</f>
        <v>98343.100048211039</v>
      </c>
      <c r="C15">
        <f>+C14*(1-Probs_Hombres!C14)</f>
        <v>98351.584625082309</v>
      </c>
      <c r="D15">
        <f>+D14*(1-Probs_Hombres!D14)</f>
        <v>98357.318041328515</v>
      </c>
      <c r="E15">
        <f>+E14*(1-Probs_Hombres!E14)</f>
        <v>98361.198242535858</v>
      </c>
      <c r="F15">
        <f>+F14*(1-Probs_Hombres!F14)</f>
        <v>98363.82694279452</v>
      </c>
      <c r="G15">
        <f>+G14*(1-Probs_Hombres!G14)</f>
        <v>98365.609036630194</v>
      </c>
      <c r="H15">
        <f>+H14*(1-Probs_Hombres!H14)</f>
        <v>98366.817756034652</v>
      </c>
      <c r="I15">
        <f>+I14*(1-Probs_Hombres!I14)</f>
        <v>98367.637842903307</v>
      </c>
      <c r="J15">
        <f>+J14*(1-Probs_Hombres!J14)</f>
        <v>98368.194373281585</v>
      </c>
      <c r="K15">
        <f>+K14*(1-Probs_Hombres!K14)</f>
        <v>98368.57210386495</v>
      </c>
      <c r="L15">
        <f>+L14*(1-Probs_Hombres!L14)</f>
        <v>98368.828504470323</v>
      </c>
      <c r="M15">
        <f>+M14*(1-Probs_Hombres!M14)</f>
        <v>98369.002559091619</v>
      </c>
      <c r="N15">
        <f>+N14*(1-Probs_Hombres!N14)</f>
        <v>98369.120719552899</v>
      </c>
      <c r="O15">
        <f>+O14*(1-Probs_Hombres!O14)</f>
        <v>98369.200937666916</v>
      </c>
      <c r="P15">
        <f>+P14*(1-Probs_Hombres!P14)</f>
        <v>98369.255398212059</v>
      </c>
      <c r="Q15">
        <f>+Q14*(1-Probs_Hombres!Q14)</f>
        <v>98369.292372329277</v>
      </c>
      <c r="R15">
        <f>+R14*(1-Probs_Hombres!R14)</f>
        <v>98369.317474883617</v>
      </c>
      <c r="S15">
        <f>+S14*(1-Probs_Hombres!S14)</f>
        <v>98369.334517682437</v>
      </c>
      <c r="T15">
        <f>+T14*(1-Probs_Hombres!T14)</f>
        <v>98369.346088549093</v>
      </c>
      <c r="U15">
        <f>+U14*(1-Probs_Hombres!U14)</f>
        <v>98369.353944381262</v>
      </c>
      <c r="V15">
        <f>+V14*(1-Probs_Hombres!V14)</f>
        <v>98369.359277968586</v>
      </c>
      <c r="W15">
        <f>+W14*(1-Probs_Hombres!W14)</f>
        <v>98369.362899124681</v>
      </c>
      <c r="X15">
        <f>+X14*(1-Probs_Hombres!X14)</f>
        <v>98369.365357654533</v>
      </c>
      <c r="Y15">
        <f>+Y14*(1-Probs_Hombres!Y14)</f>
        <v>98369.367026837848</v>
      </c>
      <c r="Z15">
        <f>+Z14*(1-Probs_Hombres!Z14)</f>
        <v>98369.368160106154</v>
      </c>
      <c r="AA15">
        <f>+AA14*(1-Probs_Hombres!AA14)</f>
        <v>98369.36892952284</v>
      </c>
      <c r="AB15">
        <f>+AB14*(1-Probs_Hombres!AB14)</f>
        <v>98369.369451907725</v>
      </c>
      <c r="AC15">
        <f>+AC14*(1-Probs_Hombres!AC14)</f>
        <v>98369.369806573726</v>
      </c>
      <c r="AD15">
        <f>+AD14*(1-Probs_Hombres!AD14)</f>
        <v>98369.370047369346</v>
      </c>
      <c r="AE15">
        <f>+AE14*(1-Probs_Hombres!AE14)</f>
        <v>98369.370210854293</v>
      </c>
      <c r="AF15">
        <f>+AF14*(1-Probs_Hombres!AF14)</f>
        <v>98369.370321850118</v>
      </c>
      <c r="AG15">
        <f>+AG14*(1-Probs_Hombres!AG14)</f>
        <v>98369.370397209277</v>
      </c>
      <c r="AH15">
        <f>+AH14*(1-Probs_Hombres!AH14)</f>
        <v>98369.370448373345</v>
      </c>
    </row>
    <row r="16" spans="1:34" x14ac:dyDescent="0.25">
      <c r="A16">
        <f>+Probs_Hombres!A16</f>
        <v>14</v>
      </c>
      <c r="B16">
        <f>+B15*(1-Probs_Hombres!B15)</f>
        <v>98294.923219086078</v>
      </c>
      <c r="C16">
        <f>+C15*(1-Probs_Hombres!C15)</f>
        <v>98303.535002220684</v>
      </c>
      <c r="D16">
        <f>+D15*(1-Probs_Hombres!D15)</f>
        <v>98309.354605407541</v>
      </c>
      <c r="E16">
        <f>+E15*(1-Probs_Hombres!E15)</f>
        <v>98313.29324011119</v>
      </c>
      <c r="F16">
        <f>+F15*(1-Probs_Hombres!F15)</f>
        <v>98315.961575253546</v>
      </c>
      <c r="G16">
        <f>+G15*(1-Probs_Hombres!G15)</f>
        <v>98317.770561267229</v>
      </c>
      <c r="H16">
        <f>+H15*(1-Probs_Hombres!H15)</f>
        <v>98318.997530739187</v>
      </c>
      <c r="I16">
        <f>+I15*(1-Probs_Hombres!I15)</f>
        <v>98319.830004551652</v>
      </c>
      <c r="J16">
        <f>+J15*(1-Probs_Hombres!J15)</f>
        <v>98320.394943175983</v>
      </c>
      <c r="K16">
        <f>+K15*(1-Probs_Hombres!K15)</f>
        <v>98320.778381639873</v>
      </c>
      <c r="L16">
        <f>+L15*(1-Probs_Hombres!L15)</f>
        <v>98321.038657171957</v>
      </c>
      <c r="M16">
        <f>+M15*(1-Probs_Hombres!M15)</f>
        <v>98321.21534245566</v>
      </c>
      <c r="N16">
        <f>+N15*(1-Probs_Hombres!N15)</f>
        <v>98321.335288892762</v>
      </c>
      <c r="O16">
        <f>+O15*(1-Probs_Hombres!O15)</f>
        <v>98321.416719535497</v>
      </c>
      <c r="P16">
        <f>+P15*(1-Probs_Hombres!P15)</f>
        <v>98321.472003294286</v>
      </c>
      <c r="Q16">
        <f>+Q15*(1-Probs_Hombres!Q15)</f>
        <v>98321.509536313737</v>
      </c>
      <c r="R16">
        <f>+R15*(1-Probs_Hombres!R15)</f>
        <v>98321.535018323717</v>
      </c>
      <c r="S16">
        <f>+S15*(1-Probs_Hombres!S15)</f>
        <v>98321.552318747214</v>
      </c>
      <c r="T16">
        <f>+T15*(1-Probs_Hombres!T15)</f>
        <v>98321.564064523918</v>
      </c>
      <c r="U16">
        <f>+U15*(1-Probs_Hombres!U15)</f>
        <v>98321.572039108563</v>
      </c>
      <c r="V16">
        <f>+V15*(1-Probs_Hombres!V15)</f>
        <v>98321.577453321108</v>
      </c>
      <c r="W16">
        <f>+W15*(1-Probs_Hombres!W15)</f>
        <v>98321.581129216545</v>
      </c>
      <c r="X16">
        <f>+X15*(1-Probs_Hombres!X15)</f>
        <v>98321.583624910883</v>
      </c>
      <c r="Y16">
        <f>+Y15*(1-Probs_Hombres!Y15)</f>
        <v>98321.585319326521</v>
      </c>
      <c r="Z16">
        <f>+Z15*(1-Probs_Hombres!Z15)</f>
        <v>98321.586469725953</v>
      </c>
      <c r="AA16">
        <f>+AA15*(1-Probs_Hombres!AA15)</f>
        <v>98321.587250773591</v>
      </c>
      <c r="AB16">
        <f>+AB15*(1-Probs_Hombres!AB15)</f>
        <v>98321.587781055146</v>
      </c>
      <c r="AC16">
        <f>+AC15*(1-Probs_Hombres!AC15)</f>
        <v>98321.58814108248</v>
      </c>
      <c r="AD16">
        <f>+AD15*(1-Probs_Hombres!AD15)</f>
        <v>98321.588385518116</v>
      </c>
      <c r="AE16">
        <f>+AE15*(1-Probs_Hombres!AE15)</f>
        <v>98321.5885514744</v>
      </c>
      <c r="AF16">
        <f>+AF15*(1-Probs_Hombres!AF15)</f>
        <v>98321.588664148105</v>
      </c>
      <c r="AG16">
        <f>+AG15*(1-Probs_Hombres!AG15)</f>
        <v>98321.588740646432</v>
      </c>
      <c r="AH16">
        <f>+AH15*(1-Probs_Hombres!AH15)</f>
        <v>98321.58879258392</v>
      </c>
    </row>
    <row r="17" spans="1:34" x14ac:dyDescent="0.25">
      <c r="A17">
        <f>+Probs_Hombres!A17</f>
        <v>15</v>
      </c>
      <c r="B17">
        <f>+B16*(1-Probs_Hombres!B16)</f>
        <v>98238.773668162714</v>
      </c>
      <c r="C17">
        <f>+C16*(1-Probs_Hombres!C16)</f>
        <v>98247.515793137951</v>
      </c>
      <c r="D17">
        <f>+D16*(1-Probs_Hombres!D16)</f>
        <v>98253.423733464835</v>
      </c>
      <c r="E17">
        <f>+E16*(1-Probs_Hombres!E16)</f>
        <v>98257.42227131057</v>
      </c>
      <c r="F17">
        <f>+F16*(1-Probs_Hombres!F16)</f>
        <v>98260.131243636089</v>
      </c>
      <c r="G17">
        <f>+G16*(1-Probs_Hombres!G16)</f>
        <v>98261.967804397311</v>
      </c>
      <c r="H17">
        <f>+H16*(1-Probs_Hombres!H16)</f>
        <v>98263.213488311943</v>
      </c>
      <c r="I17">
        <f>+I16*(1-Probs_Hombres!I16)</f>
        <v>98264.05866478871</v>
      </c>
      <c r="J17">
        <f>+J16*(1-Probs_Hombres!J16)</f>
        <v>98264.632226215646</v>
      </c>
      <c r="K17">
        <f>+K16*(1-Probs_Hombres!K16)</f>
        <v>98265.021518323556</v>
      </c>
      <c r="L17">
        <f>+L16*(1-Probs_Hombres!L16)</f>
        <v>98265.285767789479</v>
      </c>
      <c r="M17">
        <f>+M16*(1-Probs_Hombres!M16)</f>
        <v>98265.465150974924</v>
      </c>
      <c r="N17">
        <f>+N16*(1-Probs_Hombres!N16)</f>
        <v>98265.586929048237</v>
      </c>
      <c r="O17">
        <f>+O16*(1-Probs_Hombres!O16)</f>
        <v>98265.669603224393</v>
      </c>
      <c r="P17">
        <f>+P16*(1-Probs_Hombres!P16)</f>
        <v>98265.725731248967</v>
      </c>
      <c r="Q17">
        <f>+Q16*(1-Probs_Hombres!Q16)</f>
        <v>98265.763837464634</v>
      </c>
      <c r="R17">
        <f>+R16*(1-Probs_Hombres!R16)</f>
        <v>98265.789708635362</v>
      </c>
      <c r="S17">
        <f>+S16*(1-Probs_Hombres!S16)</f>
        <v>98265.807273272891</v>
      </c>
      <c r="T17">
        <f>+T16*(1-Probs_Hombres!T16)</f>
        <v>98265.81919843347</v>
      </c>
      <c r="U17">
        <f>+U16*(1-Probs_Hombres!U16)</f>
        <v>98265.82729480807</v>
      </c>
      <c r="V17">
        <f>+V16*(1-Probs_Hombres!V16)</f>
        <v>98265.832791708119</v>
      </c>
      <c r="W17">
        <f>+W16*(1-Probs_Hombres!W16)</f>
        <v>98265.836523743055</v>
      </c>
      <c r="X17">
        <f>+X16*(1-Probs_Hombres!X16)</f>
        <v>98265.839057552526</v>
      </c>
      <c r="Y17">
        <f>+Y16*(1-Probs_Hombres!Y16)</f>
        <v>98265.840777845893</v>
      </c>
      <c r="Z17">
        <f>+Z16*(1-Probs_Hombres!Z16)</f>
        <v>98265.841945814667</v>
      </c>
      <c r="AA17">
        <f>+AA16*(1-Probs_Hombres!AA16)</f>
        <v>98265.842738790758</v>
      </c>
      <c r="AB17">
        <f>+AB16*(1-Probs_Hombres!AB16)</f>
        <v>98265.843277170978</v>
      </c>
      <c r="AC17">
        <f>+AC16*(1-Probs_Hombres!AC16)</f>
        <v>98265.843642696782</v>
      </c>
      <c r="AD17">
        <f>+AD16*(1-Probs_Hombres!AD16)</f>
        <v>98265.843890865537</v>
      </c>
      <c r="AE17">
        <f>+AE16*(1-Probs_Hombres!AE16)</f>
        <v>98265.844059356372</v>
      </c>
      <c r="AF17">
        <f>+AF16*(1-Probs_Hombres!AF16)</f>
        <v>98265.844173750869</v>
      </c>
      <c r="AG17">
        <f>+AG16*(1-Probs_Hombres!AG16)</f>
        <v>98265.844251417511</v>
      </c>
      <c r="AH17">
        <f>+AH16*(1-Probs_Hombres!AH16)</f>
        <v>98265.84430414821</v>
      </c>
    </row>
    <row r="18" spans="1:34" x14ac:dyDescent="0.25">
      <c r="A18">
        <f>+Probs_Hombres!A18</f>
        <v>16</v>
      </c>
      <c r="B18">
        <f>+B17*(1-Probs_Hombres!B17)</f>
        <v>98170.262476489617</v>
      </c>
      <c r="C18">
        <f>+C17*(1-Probs_Hombres!C17)</f>
        <v>98179.147129686608</v>
      </c>
      <c r="D18">
        <f>+D17*(1-Probs_Hombres!D17)</f>
        <v>98185.151688004</v>
      </c>
      <c r="E18">
        <f>+E17*(1-Probs_Hombres!E17)</f>
        <v>98189.215754396006</v>
      </c>
      <c r="F18">
        <f>+F17*(1-Probs_Hombres!F17)</f>
        <v>98191.96918467847</v>
      </c>
      <c r="G18">
        <f>+G17*(1-Probs_Hombres!G17)</f>
        <v>98193.835914930271</v>
      </c>
      <c r="H18">
        <f>+H17*(1-Probs_Hombres!H17)</f>
        <v>98195.102075266055</v>
      </c>
      <c r="I18">
        <f>+I17*(1-Probs_Hombres!I17)</f>
        <v>98195.961150822506</v>
      </c>
      <c r="J18">
        <f>+J17*(1-Probs_Hombres!J17)</f>
        <v>98196.544147408335</v>
      </c>
      <c r="K18">
        <f>+K17*(1-Probs_Hombres!K17)</f>
        <v>98196.939844729088</v>
      </c>
      <c r="L18">
        <f>+L17*(1-Probs_Hombres!L17)</f>
        <v>98197.208442623087</v>
      </c>
      <c r="M18">
        <f>+M17*(1-Probs_Hombres!M17)</f>
        <v>98197.390777974579</v>
      </c>
      <c r="N18">
        <f>+N17*(1-Probs_Hombres!N17)</f>
        <v>98197.514560316369</v>
      </c>
      <c r="O18">
        <f>+O17*(1-Probs_Hombres!O17)</f>
        <v>98197.598595233663</v>
      </c>
      <c r="P18">
        <f>+P17*(1-Probs_Hombres!P17)</f>
        <v>98197.655647101274</v>
      </c>
      <c r="Q18">
        <f>+Q17*(1-Probs_Hombres!Q17)</f>
        <v>98197.694380541318</v>
      </c>
      <c r="R18">
        <f>+R17*(1-Probs_Hombres!R17)</f>
        <v>98197.720677554636</v>
      </c>
      <c r="S18">
        <f>+S17*(1-Probs_Hombres!S17)</f>
        <v>98197.738531310883</v>
      </c>
      <c r="T18">
        <f>+T17*(1-Probs_Hombres!T17)</f>
        <v>98197.75065276408</v>
      </c>
      <c r="U18">
        <f>+U17*(1-Probs_Hombres!U17)</f>
        <v>98197.758882408612</v>
      </c>
      <c r="V18">
        <f>+V17*(1-Probs_Hombres!V17)</f>
        <v>98197.764469790345</v>
      </c>
      <c r="W18">
        <f>+W17*(1-Probs_Hombres!W17)</f>
        <v>98197.768263256527</v>
      </c>
      <c r="X18">
        <f>+X17*(1-Probs_Hombres!X17)</f>
        <v>98197.770838773897</v>
      </c>
      <c r="Y18">
        <f>+Y17*(1-Probs_Hombres!Y17)</f>
        <v>98197.772587384257</v>
      </c>
      <c r="Z18">
        <f>+Z17*(1-Probs_Hombres!Z17)</f>
        <v>98197.773774578469</v>
      </c>
      <c r="AA18">
        <f>+AA17*(1-Probs_Hombres!AA17)</f>
        <v>98197.774580607394</v>
      </c>
      <c r="AB18">
        <f>+AB17*(1-Probs_Hombres!AB17)</f>
        <v>98197.775127849673</v>
      </c>
      <c r="AC18">
        <f>+AC17*(1-Probs_Hombres!AC17)</f>
        <v>98197.775499392243</v>
      </c>
      <c r="AD18">
        <f>+AD17*(1-Probs_Hombres!AD17)</f>
        <v>98197.775751646011</v>
      </c>
      <c r="AE18">
        <f>+AE17*(1-Probs_Hombres!AE17)</f>
        <v>98197.775922910296</v>
      </c>
      <c r="AF18">
        <f>+AF17*(1-Probs_Hombres!AF17)</f>
        <v>98197.776039187796</v>
      </c>
      <c r="AG18">
        <f>+AG17*(1-Probs_Hombres!AG17)</f>
        <v>98197.776118132868</v>
      </c>
      <c r="AH18">
        <f>+AH17*(1-Probs_Hombres!AH17)</f>
        <v>98197.776171731559</v>
      </c>
    </row>
    <row r="19" spans="1:34" x14ac:dyDescent="0.25">
      <c r="A19">
        <f>+Probs_Hombres!A19</f>
        <v>17</v>
      </c>
      <c r="B19">
        <f>+B18*(1-Probs_Hombres!B18)</f>
        <v>98084.779630023768</v>
      </c>
      <c r="C19">
        <f>+C18*(1-Probs_Hombres!C18)</f>
        <v>98093.83508683907</v>
      </c>
      <c r="D19">
        <f>+D18*(1-Probs_Hombres!D18)</f>
        <v>98099.955439807934</v>
      </c>
      <c r="E19">
        <f>+E18*(1-Probs_Hombres!E18)</f>
        <v>98104.098045007966</v>
      </c>
      <c r="F19">
        <f>+F18*(1-Probs_Hombres!F18)</f>
        <v>98106.904762020175</v>
      </c>
      <c r="G19">
        <f>+G18*(1-Probs_Hombres!G18)</f>
        <v>98108.807653924145</v>
      </c>
      <c r="H19">
        <f>+H18*(1-Probs_Hombres!H18)</f>
        <v>98110.09835804945</v>
      </c>
      <c r="I19">
        <f>+I18*(1-Probs_Hombres!I18)</f>
        <v>98110.974093742188</v>
      </c>
      <c r="J19">
        <f>+J18*(1-Probs_Hombres!J18)</f>
        <v>98111.568399871554</v>
      </c>
      <c r="K19">
        <f>+K18*(1-Probs_Hombres!K18)</f>
        <v>98111.971774902253</v>
      </c>
      <c r="L19">
        <f>+L18*(1-Probs_Hombres!L18)</f>
        <v>98112.245585127093</v>
      </c>
      <c r="M19">
        <f>+M18*(1-Probs_Hombres!M18)</f>
        <v>98112.431459160376</v>
      </c>
      <c r="N19">
        <f>+N18*(1-Probs_Hombres!N18)</f>
        <v>98112.557643968656</v>
      </c>
      <c r="O19">
        <f>+O18*(1-Probs_Hombres!O18)</f>
        <v>98112.643309974141</v>
      </c>
      <c r="P19">
        <f>+P18*(1-Probs_Hombres!P18)</f>
        <v>98112.701469231353</v>
      </c>
      <c r="Q19">
        <f>+Q18*(1-Probs_Hombres!Q18)</f>
        <v>98112.740954511377</v>
      </c>
      <c r="R19">
        <f>+R18*(1-Probs_Hombres!R18)</f>
        <v>98112.767761972951</v>
      </c>
      <c r="S19">
        <f>+S18*(1-Probs_Hombres!S18)</f>
        <v>98112.785962289592</v>
      </c>
      <c r="T19">
        <f>+T18*(1-Probs_Hombres!T18)</f>
        <v>98112.798319034584</v>
      </c>
      <c r="U19">
        <f>+U18*(1-Probs_Hombres!U18)</f>
        <v>98112.806708426957</v>
      </c>
      <c r="V19">
        <f>+V18*(1-Probs_Hombres!V18)</f>
        <v>98112.812404267184</v>
      </c>
      <c r="W19">
        <f>+W18*(1-Probs_Hombres!W18)</f>
        <v>98112.816271369709</v>
      </c>
      <c r="X19">
        <f>+X18*(1-Probs_Hombres!X18)</f>
        <v>98112.818896881465</v>
      </c>
      <c r="Y19">
        <f>+Y18*(1-Probs_Hombres!Y18)</f>
        <v>98112.820679434808</v>
      </c>
      <c r="Z19">
        <f>+Z18*(1-Probs_Hombres!Z18)</f>
        <v>98112.821889674145</v>
      </c>
      <c r="AA19">
        <f>+AA18*(1-Probs_Hombres!AA18)</f>
        <v>98112.822711349247</v>
      </c>
      <c r="AB19">
        <f>+AB18*(1-Probs_Hombres!AB18)</f>
        <v>98112.823269214292</v>
      </c>
      <c r="AC19">
        <f>+AC18*(1-Probs_Hombres!AC18)</f>
        <v>98112.823647969024</v>
      </c>
      <c r="AD19">
        <f>+AD18*(1-Probs_Hombres!AD18)</f>
        <v>98112.82390511941</v>
      </c>
      <c r="AE19">
        <f>+AE18*(1-Probs_Hombres!AE18)</f>
        <v>98112.824079708182</v>
      </c>
      <c r="AF19">
        <f>+AF18*(1-Probs_Hombres!AF18)</f>
        <v>98112.824198242801</v>
      </c>
      <c r="AG19">
        <f>+AG18*(1-Probs_Hombres!AG18)</f>
        <v>98112.824278720305</v>
      </c>
      <c r="AH19">
        <f>+AH18*(1-Probs_Hombres!AH18)</f>
        <v>98112.824333359429</v>
      </c>
    </row>
    <row r="20" spans="1:34" x14ac:dyDescent="0.25">
      <c r="A20">
        <f>+Probs_Hombres!A20</f>
        <v>18</v>
      </c>
      <c r="B20">
        <f>+B19*(1-Probs_Hombres!B19)</f>
        <v>97977.973694480155</v>
      </c>
      <c r="C20">
        <f>+C19*(1-Probs_Hombres!C19)</f>
        <v>97987.249171555581</v>
      </c>
      <c r="D20">
        <f>+D19*(1-Probs_Hombres!D19)</f>
        <v>97993.518676675259</v>
      </c>
      <c r="E20">
        <f>+E19*(1-Probs_Hombres!E19)</f>
        <v>97997.762441833474</v>
      </c>
      <c r="F20">
        <f>+F19*(1-Probs_Hombres!F19)</f>
        <v>98000.637791702844</v>
      </c>
      <c r="G20">
        <f>+G19*(1-Probs_Hombres!G19)</f>
        <v>98002.587258684551</v>
      </c>
      <c r="H20">
        <f>+H19*(1-Probs_Hombres!H19)</f>
        <v>98003.9095740638</v>
      </c>
      <c r="I20">
        <f>+I19*(1-Probs_Hombres!I19)</f>
        <v>98004.806767058486</v>
      </c>
      <c r="J20">
        <f>+J19*(1-Probs_Hombres!J19)</f>
        <v>98005.415639151935</v>
      </c>
      <c r="K20">
        <f>+K19*(1-Probs_Hombres!K19)</f>
        <v>98005.828902541674</v>
      </c>
      <c r="L20">
        <f>+L19*(1-Probs_Hombres!L19)</f>
        <v>98006.109425870731</v>
      </c>
      <c r="M20">
        <f>+M19*(1-Probs_Hombres!M19)</f>
        <v>98006.299857461709</v>
      </c>
      <c r="N20">
        <f>+N19*(1-Probs_Hombres!N19)</f>
        <v>98006.429136463659</v>
      </c>
      <c r="O20">
        <f>+O19*(1-Probs_Hombres!O19)</f>
        <v>98006.516903184674</v>
      </c>
      <c r="P20">
        <f>+P19*(1-Probs_Hombres!P19)</f>
        <v>98006.576488673352</v>
      </c>
      <c r="Q20">
        <f>+Q19*(1-Probs_Hombres!Q19)</f>
        <v>98006.616942264285</v>
      </c>
      <c r="R20">
        <f>+R19*(1-Probs_Hombres!R19)</f>
        <v>98006.644407143001</v>
      </c>
      <c r="S20">
        <f>+S19*(1-Probs_Hombres!S19)</f>
        <v>98006.663053802069</v>
      </c>
      <c r="T20">
        <f>+T19*(1-Probs_Hombres!T19)</f>
        <v>98006.675713584264</v>
      </c>
      <c r="U20">
        <f>+U19*(1-Probs_Hombres!U19)</f>
        <v>98006.68430871921</v>
      </c>
      <c r="V20">
        <f>+V19*(1-Probs_Hombres!V19)</f>
        <v>98006.690144245367</v>
      </c>
      <c r="W20">
        <f>+W19*(1-Probs_Hombres!W19)</f>
        <v>98006.694106185678</v>
      </c>
      <c r="X20">
        <f>+X19*(1-Probs_Hombres!X19)</f>
        <v>98006.696796086224</v>
      </c>
      <c r="Y20">
        <f>+Y19*(1-Probs_Hombres!Y19)</f>
        <v>98006.698622355441</v>
      </c>
      <c r="Z20">
        <f>+Z19*(1-Probs_Hombres!Z19)</f>
        <v>98006.699862275069</v>
      </c>
      <c r="AA20">
        <f>+AA19*(1-Probs_Hombres!AA19)</f>
        <v>98006.700704101197</v>
      </c>
      <c r="AB20">
        <f>+AB19*(1-Probs_Hombres!AB19)</f>
        <v>98006.701275647501</v>
      </c>
      <c r="AC20">
        <f>+AC19*(1-Probs_Hombres!AC19)</f>
        <v>98006.701663690954</v>
      </c>
      <c r="AD20">
        <f>+AD19*(1-Probs_Hombres!AD19)</f>
        <v>98006.701927147777</v>
      </c>
      <c r="AE20">
        <f>+AE19*(1-Probs_Hombres!AE19)</f>
        <v>98006.702106018231</v>
      </c>
      <c r="AF20">
        <f>+AF19*(1-Probs_Hombres!AF19)</f>
        <v>98006.702227459828</v>
      </c>
      <c r="AG20">
        <f>+AG19*(1-Probs_Hombres!AG19)</f>
        <v>98006.702309910994</v>
      </c>
      <c r="AH20">
        <f>+AH19*(1-Probs_Hombres!AH19)</f>
        <v>98006.702365890102</v>
      </c>
    </row>
    <row r="21" spans="1:34" x14ac:dyDescent="0.25">
      <c r="A21">
        <f>+Probs_Hombres!A21</f>
        <v>19</v>
      </c>
      <c r="B21">
        <f>+B20*(1-Probs_Hombres!B20)</f>
        <v>97846.635026763586</v>
      </c>
      <c r="C21">
        <f>+C20*(1-Probs_Hombres!C20)</f>
        <v>97856.157372823494</v>
      </c>
      <c r="D21">
        <f>+D20*(1-Probs_Hombres!D20)</f>
        <v>97862.594259989608</v>
      </c>
      <c r="E21">
        <f>+E20*(1-Probs_Hombres!E20)</f>
        <v>97866.951562619666</v>
      </c>
      <c r="F21">
        <f>+F20*(1-Probs_Hombres!F20)</f>
        <v>97869.903949144806</v>
      </c>
      <c r="G21">
        <f>+G20*(1-Probs_Hombres!G20)</f>
        <v>97871.905696962931</v>
      </c>
      <c r="H21">
        <f>+H20*(1-Probs_Hombres!H20)</f>
        <v>97873.263497494961</v>
      </c>
      <c r="I21">
        <f>+I20*(1-Probs_Hombres!I20)</f>
        <v>97874.184777946051</v>
      </c>
      <c r="J21">
        <f>+J20*(1-Probs_Hombres!J20)</f>
        <v>97874.810001721984</v>
      </c>
      <c r="K21">
        <f>+K20*(1-Probs_Hombres!K20)</f>
        <v>97875.234365864962</v>
      </c>
      <c r="L21">
        <f>+L20*(1-Probs_Hombres!L20)</f>
        <v>97875.522425439121</v>
      </c>
      <c r="M21">
        <f>+M20*(1-Probs_Hombres!M20)</f>
        <v>97875.717973449166</v>
      </c>
      <c r="N21">
        <f>+N20*(1-Probs_Hombres!N20)</f>
        <v>97875.850726076635</v>
      </c>
      <c r="O21">
        <f>+O20*(1-Probs_Hombres!O20)</f>
        <v>97875.940851123523</v>
      </c>
      <c r="P21">
        <f>+P20*(1-Probs_Hombres!P20)</f>
        <v>97876.002037744809</v>
      </c>
      <c r="Q21">
        <f>+Q20*(1-Probs_Hombres!Q20)</f>
        <v>97876.043578393466</v>
      </c>
      <c r="R21">
        <f>+R20*(1-Probs_Hombres!R20)</f>
        <v>97876.071781310879</v>
      </c>
      <c r="S21">
        <f>+S20*(1-Probs_Hombres!S20)</f>
        <v>97876.0909290493</v>
      </c>
      <c r="T21">
        <f>+T20*(1-Probs_Hombres!T20)</f>
        <v>97876.103929031597</v>
      </c>
      <c r="U21">
        <f>+U20*(1-Probs_Hombres!U20)</f>
        <v>97876.112755140362</v>
      </c>
      <c r="V21">
        <f>+V20*(1-Probs_Hombres!V20)</f>
        <v>97876.118747482877</v>
      </c>
      <c r="W21">
        <f>+W20*(1-Probs_Hombres!W20)</f>
        <v>97876.122815891431</v>
      </c>
      <c r="X21">
        <f>+X20*(1-Probs_Hombres!X20)</f>
        <v>97876.125578077117</v>
      </c>
      <c r="Y21">
        <f>+Y20*(1-Probs_Hombres!Y20)</f>
        <v>97876.127453423323</v>
      </c>
      <c r="Z21">
        <f>+Z20*(1-Probs_Hombres!Z20)</f>
        <v>97876.128726663097</v>
      </c>
      <c r="AA21">
        <f>+AA20*(1-Probs_Hombres!AA20)</f>
        <v>97876.129591111487</v>
      </c>
      <c r="AB21">
        <f>+AB20*(1-Probs_Hombres!AB20)</f>
        <v>97876.130178016872</v>
      </c>
      <c r="AC21">
        <f>+AC20*(1-Probs_Hombres!AC20)</f>
        <v>97876.130576488154</v>
      </c>
      <c r="AD21">
        <f>+AD20*(1-Probs_Hombres!AD20)</f>
        <v>97876.130847024819</v>
      </c>
      <c r="AE21">
        <f>+AE20*(1-Probs_Hombres!AE20)</f>
        <v>97876.131030702032</v>
      </c>
      <c r="AF21">
        <f>+AF20*(1-Probs_Hombres!AF20)</f>
        <v>97876.131155407114</v>
      </c>
      <c r="AG21">
        <f>+AG20*(1-Probs_Hombres!AG20)</f>
        <v>97876.13124007397</v>
      </c>
      <c r="AH21">
        <f>+AH20*(1-Probs_Hombres!AH20)</f>
        <v>97876.131297557396</v>
      </c>
    </row>
    <row r="22" spans="1:34" x14ac:dyDescent="0.25">
      <c r="A22">
        <f>+Probs_Hombres!A22</f>
        <v>20</v>
      </c>
      <c r="B22">
        <f>+B21*(1-Probs_Hombres!B21)</f>
        <v>97689.995071040117</v>
      </c>
      <c r="C22">
        <f>+C21*(1-Probs_Hombres!C21)</f>
        <v>97699.713758912068</v>
      </c>
      <c r="D22">
        <f>+D21*(1-Probs_Hombres!D21)</f>
        <v>97706.283855393369</v>
      </c>
      <c r="E22">
        <f>+E21*(1-Probs_Hombres!E21)</f>
        <v>97710.731555124934</v>
      </c>
      <c r="F22">
        <f>+F21*(1-Probs_Hombres!F21)</f>
        <v>97713.745295430956</v>
      </c>
      <c r="G22">
        <f>+G21*(1-Probs_Hombres!G21)</f>
        <v>97715.788689290595</v>
      </c>
      <c r="H22">
        <f>+H21*(1-Probs_Hombres!H21)</f>
        <v>97717.174760559516</v>
      </c>
      <c r="I22">
        <f>+I21*(1-Probs_Hombres!I21)</f>
        <v>97718.115233071352</v>
      </c>
      <c r="J22">
        <f>+J21*(1-Probs_Hombres!J21)</f>
        <v>97718.753486127229</v>
      </c>
      <c r="K22">
        <f>+K21*(1-Probs_Hombres!K21)</f>
        <v>97719.186695903962</v>
      </c>
      <c r="L22">
        <f>+L21*(1-Probs_Hombres!L21)</f>
        <v>97719.480760908016</v>
      </c>
      <c r="M22">
        <f>+M21*(1-Probs_Hombres!M21)</f>
        <v>97719.680386134249</v>
      </c>
      <c r="N22">
        <f>+N21*(1-Probs_Hombres!N21)</f>
        <v>97719.815906891381</v>
      </c>
      <c r="O22">
        <f>+O21*(1-Probs_Hombres!O21)</f>
        <v>97719.907911303468</v>
      </c>
      <c r="P22">
        <f>+P21*(1-Probs_Hombres!P21)</f>
        <v>97719.970373885604</v>
      </c>
      <c r="Q22">
        <f>+Q21*(1-Probs_Hombres!Q21)</f>
        <v>97720.012780826568</v>
      </c>
      <c r="R22">
        <f>+R21*(1-Probs_Hombres!R21)</f>
        <v>97720.041571899565</v>
      </c>
      <c r="S22">
        <f>+S21*(1-Probs_Hombres!S21)</f>
        <v>97720.061118957427</v>
      </c>
      <c r="T22">
        <f>+T21*(1-Probs_Hombres!T21)</f>
        <v>97720.074390051843</v>
      </c>
      <c r="U22">
        <f>+U21*(1-Probs_Hombres!U21)</f>
        <v>97720.083400228323</v>
      </c>
      <c r="V22">
        <f>+V21*(1-Probs_Hombres!V21)</f>
        <v>97720.089517541041</v>
      </c>
      <c r="W22">
        <f>+W21*(1-Probs_Hombres!W21)</f>
        <v>97720.093670796399</v>
      </c>
      <c r="X22">
        <f>+X21*(1-Probs_Hombres!X21)</f>
        <v>97720.096490587646</v>
      </c>
      <c r="Y22">
        <f>+Y21*(1-Probs_Hombres!Y21)</f>
        <v>97720.098405044351</v>
      </c>
      <c r="Z22">
        <f>+Z21*(1-Probs_Hombres!Z21)</f>
        <v>97720.099704837674</v>
      </c>
      <c r="AA22">
        <f>+AA21*(1-Probs_Hombres!AA21)</f>
        <v>97720.100587314242</v>
      </c>
      <c r="AB22">
        <f>+AB21*(1-Probs_Hombres!AB21)</f>
        <v>97720.101186459608</v>
      </c>
      <c r="AC22">
        <f>+AC21*(1-Probs_Hombres!AC21)</f>
        <v>97720.101593241052</v>
      </c>
      <c r="AD22">
        <f>+AD21*(1-Probs_Hombres!AD21)</f>
        <v>97720.101869419799</v>
      </c>
      <c r="AE22">
        <f>+AE21*(1-Probs_Hombres!AE21)</f>
        <v>97720.102056927615</v>
      </c>
      <c r="AF22">
        <f>+AF21*(1-Probs_Hombres!AF21)</f>
        <v>97720.10218423343</v>
      </c>
      <c r="AG22">
        <f>+AG21*(1-Probs_Hombres!AG21)</f>
        <v>97720.10227066603</v>
      </c>
      <c r="AH22">
        <f>+AH21*(1-Probs_Hombres!AH21)</f>
        <v>97720.102329348287</v>
      </c>
    </row>
    <row r="23" spans="1:34" x14ac:dyDescent="0.25">
      <c r="A23">
        <f>+Probs_Hombres!A23</f>
        <v>21</v>
      </c>
      <c r="B23">
        <f>+B22*(1-Probs_Hombres!B22)</f>
        <v>97510.257919473996</v>
      </c>
      <c r="C23">
        <f>+C22*(1-Probs_Hombres!C22)</f>
        <v>97520.130276485943</v>
      </c>
      <c r="D23">
        <f>+D22*(1-Probs_Hombres!D22)</f>
        <v>97526.80468269992</v>
      </c>
      <c r="E23">
        <f>+E22*(1-Probs_Hombres!E22)</f>
        <v>97531.323191910575</v>
      </c>
      <c r="F23">
        <f>+F22*(1-Probs_Hombres!F22)</f>
        <v>97534.385002610798</v>
      </c>
      <c r="G23">
        <f>+G22*(1-Probs_Hombres!G22)</f>
        <v>97536.461031014915</v>
      </c>
      <c r="H23">
        <f>+H22*(1-Probs_Hombres!H22)</f>
        <v>97537.869258048493</v>
      </c>
      <c r="I23">
        <f>+I22*(1-Probs_Hombres!I22)</f>
        <v>97538.824772446562</v>
      </c>
      <c r="J23">
        <f>+J22*(1-Probs_Hombres!J22)</f>
        <v>97539.473237770333</v>
      </c>
      <c r="K23">
        <f>+K22*(1-Probs_Hombres!K22)</f>
        <v>97539.913380927916</v>
      </c>
      <c r="L23">
        <f>+L22*(1-Probs_Hombres!L22)</f>
        <v>97540.212153210814</v>
      </c>
      <c r="M23">
        <f>+M22*(1-Probs_Hombres!M22)</f>
        <v>97540.414974358981</v>
      </c>
      <c r="N23">
        <f>+N22*(1-Probs_Hombres!N22)</f>
        <v>97540.552664934206</v>
      </c>
      <c r="O23">
        <f>+O22*(1-Probs_Hombres!O22)</f>
        <v>97540.646142510406</v>
      </c>
      <c r="P23">
        <f>+P22*(1-Probs_Hombres!P22)</f>
        <v>97540.709605275275</v>
      </c>
      <c r="Q23">
        <f>+Q22*(1-Probs_Hombres!Q22)</f>
        <v>97540.752691275804</v>
      </c>
      <c r="R23">
        <f>+R22*(1-Probs_Hombres!R22)</f>
        <v>97540.781943386668</v>
      </c>
      <c r="S23">
        <f>+S22*(1-Probs_Hombres!S22)</f>
        <v>97540.801803459733</v>
      </c>
      <c r="T23">
        <f>+T22*(1-Probs_Hombres!T22)</f>
        <v>97540.815287071498</v>
      </c>
      <c r="U23">
        <f>+U22*(1-Probs_Hombres!U22)</f>
        <v>97540.82444153371</v>
      </c>
      <c r="V23">
        <f>+V22*(1-Probs_Hombres!V22)</f>
        <v>97540.830656807258</v>
      </c>
      <c r="W23">
        <f>+W22*(1-Probs_Hombres!W22)</f>
        <v>97540.834876571782</v>
      </c>
      <c r="X23">
        <f>+X22*(1-Probs_Hombres!X22)</f>
        <v>97540.837741518524</v>
      </c>
      <c r="Y23">
        <f>+Y22*(1-Probs_Hombres!Y22)</f>
        <v>97540.839686632942</v>
      </c>
      <c r="Z23">
        <f>+Z22*(1-Probs_Hombres!Z22)</f>
        <v>97540.841007240902</v>
      </c>
      <c r="AA23">
        <f>+AA22*(1-Probs_Hombres!AA22)</f>
        <v>97540.841903849272</v>
      </c>
      <c r="AB23">
        <f>+AB22*(1-Probs_Hombres!AB22)</f>
        <v>97540.842512589254</v>
      </c>
      <c r="AC23">
        <f>+AC22*(1-Probs_Hombres!AC22)</f>
        <v>97540.842925884819</v>
      </c>
      <c r="AD23">
        <f>+AD22*(1-Probs_Hombres!AD22)</f>
        <v>97540.843206486243</v>
      </c>
      <c r="AE23">
        <f>+AE22*(1-Probs_Hombres!AE22)</f>
        <v>97540.843396996774</v>
      </c>
      <c r="AF23">
        <f>+AF22*(1-Probs_Hombres!AF22)</f>
        <v>97540.843526341254</v>
      </c>
      <c r="AG23">
        <f>+AG22*(1-Probs_Hombres!AG22)</f>
        <v>97540.843614157959</v>
      </c>
      <c r="AH23">
        <f>+AH22*(1-Probs_Hombres!AH22)</f>
        <v>97540.843673779949</v>
      </c>
    </row>
    <row r="24" spans="1:34" x14ac:dyDescent="0.25">
      <c r="A24">
        <f>+Probs_Hombres!A24</f>
        <v>22</v>
      </c>
      <c r="B24">
        <f>+B23*(1-Probs_Hombres!B23)</f>
        <v>97313.804580354103</v>
      </c>
      <c r="C24">
        <f>+C23*(1-Probs_Hombres!C23)</f>
        <v>97323.836576147238</v>
      </c>
      <c r="D24">
        <f>+D23*(1-Probs_Hombres!D23)</f>
        <v>97330.619351171874</v>
      </c>
      <c r="E24">
        <f>+E23*(1-Probs_Hombres!E23)</f>
        <v>97335.211428502924</v>
      </c>
      <c r="F24">
        <f>+F23*(1-Probs_Hombres!F23)</f>
        <v>97338.323183819302</v>
      </c>
      <c r="G24">
        <f>+G23*(1-Probs_Hombres!G23)</f>
        <v>97340.433119834124</v>
      </c>
      <c r="H24">
        <f>+H23*(1-Probs_Hombres!H23)</f>
        <v>97341.86436723439</v>
      </c>
      <c r="I24">
        <f>+I23*(1-Probs_Hombres!I23)</f>
        <v>97342.835510653313</v>
      </c>
      <c r="J24">
        <f>+J23*(1-Probs_Hombres!J23)</f>
        <v>97343.494586929548</v>
      </c>
      <c r="K24">
        <f>+K23*(1-Probs_Hombres!K23)</f>
        <v>97343.941934175949</v>
      </c>
      <c r="L24">
        <f>+L23*(1-Probs_Hombres!L23)</f>
        <v>97344.245597543399</v>
      </c>
      <c r="M24">
        <f>+M23*(1-Probs_Hombres!M23)</f>
        <v>97344.451739411525</v>
      </c>
      <c r="N24">
        <f>+N23*(1-Probs_Hombres!N23)</f>
        <v>97344.591684537372</v>
      </c>
      <c r="O24">
        <f>+O23*(1-Probs_Hombres!O23)</f>
        <v>97344.686692806878</v>
      </c>
      <c r="P24">
        <f>+P23*(1-Probs_Hombres!P23)</f>
        <v>97344.751194813696</v>
      </c>
      <c r="Q24">
        <f>+Q23*(1-Probs_Hombres!Q23)</f>
        <v>97344.794986392779</v>
      </c>
      <c r="R24">
        <f>+R23*(1-Probs_Hombres!R23)</f>
        <v>97344.824717546318</v>
      </c>
      <c r="S24">
        <f>+S23*(1-Probs_Hombres!S23)</f>
        <v>97344.844902858778</v>
      </c>
      <c r="T24">
        <f>+T23*(1-Probs_Hombres!T23)</f>
        <v>97344.858607287359</v>
      </c>
      <c r="U24">
        <f>+U23*(1-Probs_Hombres!U23)</f>
        <v>97344.867911670124</v>
      </c>
      <c r="V24">
        <f>+V23*(1-Probs_Hombres!V23)</f>
        <v>97344.874228730187</v>
      </c>
      <c r="W24">
        <f>+W23*(1-Probs_Hombres!W23)</f>
        <v>97344.87851760129</v>
      </c>
      <c r="X24">
        <f>+X23*(1-Probs_Hombres!X23)</f>
        <v>97344.881429466986</v>
      </c>
      <c r="Y24">
        <f>+Y23*(1-Probs_Hombres!Y23)</f>
        <v>97344.883406436405</v>
      </c>
      <c r="Z24">
        <f>+Z23*(1-Probs_Hombres!Z23)</f>
        <v>97344.884748671888</v>
      </c>
      <c r="AA24">
        <f>+AA23*(1-Probs_Hombres!AA23)</f>
        <v>97344.885659963955</v>
      </c>
      <c r="AB24">
        <f>+AB23*(1-Probs_Hombres!AB23)</f>
        <v>97344.88627867325</v>
      </c>
      <c r="AC24">
        <f>+AC23*(1-Probs_Hombres!AC23)</f>
        <v>97344.886698737348</v>
      </c>
      <c r="AD24">
        <f>+AD23*(1-Probs_Hombres!AD23)</f>
        <v>97344.886983934164</v>
      </c>
      <c r="AE24">
        <f>+AE23*(1-Probs_Hombres!AE23)</f>
        <v>97344.887177564684</v>
      </c>
      <c r="AF24">
        <f>+AF23*(1-Probs_Hombres!AF23)</f>
        <v>97344.887309027428</v>
      </c>
      <c r="AG24">
        <f>+AG23*(1-Probs_Hombres!AG23)</f>
        <v>97344.887398282313</v>
      </c>
      <c r="AH24">
        <f>+AH23*(1-Probs_Hombres!AH23)</f>
        <v>97344.887458880723</v>
      </c>
    </row>
    <row r="25" spans="1:34" x14ac:dyDescent="0.25">
      <c r="A25">
        <f>+Probs_Hombres!A25</f>
        <v>23</v>
      </c>
      <c r="B25">
        <f>+B24*(1-Probs_Hombres!B24)</f>
        <v>97104.140064312771</v>
      </c>
      <c r="C25">
        <f>+C24*(1-Probs_Hombres!C24)</f>
        <v>97114.348464318231</v>
      </c>
      <c r="D25">
        <f>+D24*(1-Probs_Hombres!D24)</f>
        <v>97121.250984282553</v>
      </c>
      <c r="E25">
        <f>+E24*(1-Probs_Hombres!E24)</f>
        <v>97125.924350381873</v>
      </c>
      <c r="F25">
        <f>+F24*(1-Probs_Hombres!F24)</f>
        <v>97129.091290748329</v>
      </c>
      <c r="G25">
        <f>+G24*(1-Probs_Hombres!G24)</f>
        <v>97131.238691651437</v>
      </c>
      <c r="H25">
        <f>+H24*(1-Probs_Hombres!H24)</f>
        <v>97132.695374286646</v>
      </c>
      <c r="I25">
        <f>+I24*(1-Probs_Hombres!I24)</f>
        <v>97133.683786131456</v>
      </c>
      <c r="J25">
        <f>+J24*(1-Probs_Hombres!J24)</f>
        <v>97134.354586348796</v>
      </c>
      <c r="K25">
        <f>+K24*(1-Probs_Hombres!K24)</f>
        <v>97134.809893303434</v>
      </c>
      <c r="L25">
        <f>+L24*(1-Probs_Hombres!L24)</f>
        <v>97135.118960759588</v>
      </c>
      <c r="M25">
        <f>+M24*(1-Probs_Hombres!M24)</f>
        <v>97135.328771638699</v>
      </c>
      <c r="N25">
        <f>+N24*(1-Probs_Hombres!N24)</f>
        <v>97135.471207779803</v>
      </c>
      <c r="O25">
        <f>+O24*(1-Probs_Hombres!O24)</f>
        <v>97135.567907285746</v>
      </c>
      <c r="P25">
        <f>+P24*(1-Probs_Hombres!P24)</f>
        <v>97135.633557532492</v>
      </c>
      <c r="Q25">
        <f>+Q24*(1-Probs_Hombres!Q24)</f>
        <v>97135.678128692554</v>
      </c>
      <c r="R25">
        <f>+R24*(1-Probs_Hombres!R24)</f>
        <v>97135.708389131585</v>
      </c>
      <c r="S25">
        <f>+S24*(1-Probs_Hombres!S24)</f>
        <v>97135.728933795064</v>
      </c>
      <c r="T25">
        <f>+T24*(1-Probs_Hombres!T24)</f>
        <v>97135.742882200051</v>
      </c>
      <c r="U25">
        <f>+U24*(1-Probs_Hombres!U24)</f>
        <v>97135.752352227253</v>
      </c>
      <c r="V25">
        <f>+V24*(1-Probs_Hombres!V24)</f>
        <v>97135.758781749348</v>
      </c>
      <c r="W25">
        <f>+W24*(1-Probs_Hombres!W24)</f>
        <v>97135.763146975019</v>
      </c>
      <c r="X25">
        <f>+X24*(1-Probs_Hombres!X24)</f>
        <v>97135.76611068059</v>
      </c>
      <c r="Y25">
        <f>+Y24*(1-Probs_Hombres!Y24)</f>
        <v>97135.768122846013</v>
      </c>
      <c r="Z25">
        <f>+Z24*(1-Probs_Hombres!Z24)</f>
        <v>97135.769488977327</v>
      </c>
      <c r="AA25">
        <f>+AA24*(1-Probs_Hombres!AA24)</f>
        <v>97135.770416493164</v>
      </c>
      <c r="AB25">
        <f>+AB24*(1-Probs_Hombres!AB24)</f>
        <v>97135.771046217356</v>
      </c>
      <c r="AC25">
        <f>+AC24*(1-Probs_Hombres!AC24)</f>
        <v>97135.771473759873</v>
      </c>
      <c r="AD25">
        <f>+AD24*(1-Probs_Hombres!AD24)</f>
        <v>97135.771764034056</v>
      </c>
      <c r="AE25">
        <f>+AE24*(1-Probs_Hombres!AE24)</f>
        <v>97135.771961111779</v>
      </c>
      <c r="AF25">
        <f>+AF24*(1-Probs_Hombres!AF24)</f>
        <v>97135.772094914966</v>
      </c>
      <c r="AG25">
        <f>+AG24*(1-Probs_Hombres!AG24)</f>
        <v>97135.772185758862</v>
      </c>
      <c r="AH25">
        <f>+AH24*(1-Probs_Hombres!AH24)</f>
        <v>97135.772247436107</v>
      </c>
    </row>
    <row r="26" spans="1:34" x14ac:dyDescent="0.25">
      <c r="A26">
        <f>+Probs_Hombres!A26</f>
        <v>24</v>
      </c>
      <c r="B26">
        <f>+B25*(1-Probs_Hombres!B25)</f>
        <v>96883.044456033866</v>
      </c>
      <c r="C26">
        <f>+C25*(1-Probs_Hombres!C25)</f>
        <v>96893.386001886014</v>
      </c>
      <c r="D26">
        <f>+D25*(1-Probs_Hombres!D25)</f>
        <v>96900.378939620772</v>
      </c>
      <c r="E26">
        <f>+E25*(1-Probs_Hombres!E25)</f>
        <v>96905.113702791365</v>
      </c>
      <c r="F26">
        <f>+F25*(1-Probs_Hombres!F25)</f>
        <v>96908.322332035779</v>
      </c>
      <c r="G26">
        <f>+G25*(1-Probs_Hombres!G25)</f>
        <v>96910.49803894361</v>
      </c>
      <c r="H26">
        <f>+H25*(1-Probs_Hombres!H25)</f>
        <v>96911.973940430966</v>
      </c>
      <c r="I26">
        <f>+I25*(1-Probs_Hombres!I25)</f>
        <v>96912.975401056363</v>
      </c>
      <c r="J26">
        <f>+J25*(1-Probs_Hombres!J25)</f>
        <v>96913.655060751073</v>
      </c>
      <c r="K26">
        <f>+K25*(1-Probs_Hombres!K25)</f>
        <v>96914.11638281279</v>
      </c>
      <c r="L26">
        <f>+L25*(1-Probs_Hombres!L25)</f>
        <v>96914.429534183553</v>
      </c>
      <c r="M26">
        <f>+M25*(1-Probs_Hombres!M25)</f>
        <v>96914.642117799202</v>
      </c>
      <c r="N26">
        <f>+N25*(1-Probs_Hombres!N25)</f>
        <v>96914.786436460534</v>
      </c>
      <c r="O26">
        <f>+O25*(1-Probs_Hombres!O25)</f>
        <v>96914.884414081927</v>
      </c>
      <c r="P26">
        <f>+P25*(1-Probs_Hombres!P25)</f>
        <v>96914.950932089618</v>
      </c>
      <c r="Q26">
        <f>+Q25*(1-Probs_Hombres!Q25)</f>
        <v>96914.996092405054</v>
      </c>
      <c r="R26">
        <f>+R25*(1-Probs_Hombres!R25)</f>
        <v>96915.026752843507</v>
      </c>
      <c r="S26">
        <f>+S25*(1-Probs_Hombres!S25)</f>
        <v>96915.047569081376</v>
      </c>
      <c r="T26">
        <f>+T25*(1-Probs_Hombres!T25)</f>
        <v>96915.061701868166</v>
      </c>
      <c r="U26">
        <f>+U25*(1-Probs_Hombres!U25)</f>
        <v>96915.071297078961</v>
      </c>
      <c r="V26">
        <f>+V25*(1-Probs_Hombres!V25)</f>
        <v>96915.077811592768</v>
      </c>
      <c r="W26">
        <f>+W25*(1-Probs_Hombres!W25)</f>
        <v>96915.08223452243</v>
      </c>
      <c r="X26">
        <f>+X25*(1-Probs_Hombres!X25)</f>
        <v>96915.085237405336</v>
      </c>
      <c r="Y26">
        <f>+Y25*(1-Probs_Hombres!Y25)</f>
        <v>96915.087276169681</v>
      </c>
      <c r="Z26">
        <f>+Z25*(1-Probs_Hombres!Z25)</f>
        <v>96915.088660359979</v>
      </c>
      <c r="AA26">
        <f>+AA25*(1-Probs_Hombres!AA25)</f>
        <v>96915.089600136722</v>
      </c>
      <c r="AB26">
        <f>+AB25*(1-Probs_Hombres!AB25)</f>
        <v>96915.090238185294</v>
      </c>
      <c r="AC26">
        <f>+AC25*(1-Probs_Hombres!AC25)</f>
        <v>96915.090671379527</v>
      </c>
      <c r="AD26">
        <f>+AD25*(1-Probs_Hombres!AD25)</f>
        <v>96915.090965490861</v>
      </c>
      <c r="AE26">
        <f>+AE25*(1-Probs_Hombres!AE25)</f>
        <v>96915.09116517377</v>
      </c>
      <c r="AF26">
        <f>+AF25*(1-Probs_Hombres!AF25)</f>
        <v>96915.091300745713</v>
      </c>
      <c r="AG26">
        <f>+AG25*(1-Probs_Hombres!AG25)</f>
        <v>96915.091392790491</v>
      </c>
      <c r="AH26">
        <f>+AH25*(1-Probs_Hombres!AH25)</f>
        <v>96915.091455283051</v>
      </c>
    </row>
    <row r="27" spans="1:34" x14ac:dyDescent="0.25">
      <c r="A27">
        <f>+Probs_Hombres!A27</f>
        <v>25</v>
      </c>
      <c r="B27">
        <f>+B26*(1-Probs_Hombres!B26)</f>
        <v>96652.272162799898</v>
      </c>
      <c r="C27">
        <f>+C26*(1-Probs_Hombres!C26)</f>
        <v>96662.717319175921</v>
      </c>
      <c r="D27">
        <f>+D26*(1-Probs_Hombres!D26)</f>
        <v>96669.780644287079</v>
      </c>
      <c r="E27">
        <f>+E26*(1-Probs_Hombres!E26)</f>
        <v>96674.563215401198</v>
      </c>
      <c r="F27">
        <f>+F26*(1-Probs_Hombres!F26)</f>
        <v>96677.804312087334</v>
      </c>
      <c r="G27">
        <f>+G26*(1-Probs_Hombres!G26)</f>
        <v>96680.00206640517</v>
      </c>
      <c r="H27">
        <f>+H26*(1-Probs_Hombres!H26)</f>
        <v>96681.492938558833</v>
      </c>
      <c r="I27">
        <f>+I26*(1-Probs_Hombres!I26)</f>
        <v>96682.50456417854</v>
      </c>
      <c r="J27">
        <f>+J26*(1-Probs_Hombres!J26)</f>
        <v>96683.191125655896</v>
      </c>
      <c r="K27">
        <f>+K26*(1-Probs_Hombres!K26)</f>
        <v>96683.657133772533</v>
      </c>
      <c r="L27">
        <f>+L26*(1-Probs_Hombres!L26)</f>
        <v>96683.973466761177</v>
      </c>
      <c r="M27">
        <f>+M26*(1-Probs_Hombres!M26)</f>
        <v>96684.188210532069</v>
      </c>
      <c r="N27">
        <f>+N26*(1-Probs_Hombres!N26)</f>
        <v>96684.333995819456</v>
      </c>
      <c r="O27">
        <f>+O26*(1-Probs_Hombres!O26)</f>
        <v>96684.432969195026</v>
      </c>
      <c r="P27">
        <f>+P26*(1-Probs_Hombres!P26)</f>
        <v>96684.500163260338</v>
      </c>
      <c r="Q27">
        <f>+Q26*(1-Probs_Hombres!Q26)</f>
        <v>96684.545782577698</v>
      </c>
      <c r="R27">
        <f>+R26*(1-Probs_Hombres!R26)</f>
        <v>96684.576754650087</v>
      </c>
      <c r="S27">
        <f>+S26*(1-Probs_Hombres!S26)</f>
        <v>96684.597782467987</v>
      </c>
      <c r="T27">
        <f>+T26*(1-Probs_Hombres!T26)</f>
        <v>96684.612058904342</v>
      </c>
      <c r="U27">
        <f>+U26*(1-Probs_Hombres!U26)</f>
        <v>96684.621751644139</v>
      </c>
      <c r="V27">
        <f>+V26*(1-Probs_Hombres!V26)</f>
        <v>96684.628332373992</v>
      </c>
      <c r="W27">
        <f>+W26*(1-Probs_Hombres!W26)</f>
        <v>96684.632800260151</v>
      </c>
      <c r="X27">
        <f>+X26*(1-Probs_Hombres!X26)</f>
        <v>96684.63583366567</v>
      </c>
      <c r="Y27">
        <f>+Y26*(1-Probs_Hombres!Y26)</f>
        <v>96684.637893152933</v>
      </c>
      <c r="Z27">
        <f>+Z26*(1-Probs_Hombres!Z26)</f>
        <v>96684.639291412779</v>
      </c>
      <c r="AA27">
        <f>+AA26*(1-Probs_Hombres!AA26)</f>
        <v>96684.64024074185</v>
      </c>
      <c r="AB27">
        <f>+AB26*(1-Probs_Hombres!AB26)</f>
        <v>96684.640885275847</v>
      </c>
      <c r="AC27">
        <f>+AC26*(1-Probs_Hombres!AC26)</f>
        <v>96684.641322873271</v>
      </c>
      <c r="AD27">
        <f>+AD26*(1-Probs_Hombres!AD26)</f>
        <v>96684.641619974092</v>
      </c>
      <c r="AE27">
        <f>+AE26*(1-Probs_Hombres!AE26)</f>
        <v>96684.641821686673</v>
      </c>
      <c r="AF27">
        <f>+AF26*(1-Probs_Hombres!AF26)</f>
        <v>96684.641958636639</v>
      </c>
      <c r="AG27">
        <f>+AG26*(1-Probs_Hombres!AG26)</f>
        <v>96684.642051617004</v>
      </c>
      <c r="AH27">
        <f>+AH26*(1-Probs_Hombres!AH26)</f>
        <v>96684.642114744755</v>
      </c>
    </row>
    <row r="28" spans="1:34" x14ac:dyDescent="0.25">
      <c r="A28">
        <f>+Probs_Hombres!A28</f>
        <v>26</v>
      </c>
      <c r="B28">
        <f>+B27*(1-Probs_Hombres!B27)</f>
        <v>96416.615786053619</v>
      </c>
      <c r="C28">
        <f>+C27*(1-Probs_Hombres!C27)</f>
        <v>96427.163876444014</v>
      </c>
      <c r="D28">
        <f>+D27*(1-Probs_Hombres!D27)</f>
        <v>96434.297132070642</v>
      </c>
      <c r="E28">
        <f>+E27*(1-Probs_Hombres!E27)</f>
        <v>96439.127202073243</v>
      </c>
      <c r="F28">
        <f>+F27*(1-Probs_Hombres!F27)</f>
        <v>96442.400556889756</v>
      </c>
      <c r="G28">
        <f>+G27*(1-Probs_Hombres!G27)</f>
        <v>96444.620216746727</v>
      </c>
      <c r="H28">
        <f>+H27*(1-Probs_Hombres!H27)</f>
        <v>96446.12596335508</v>
      </c>
      <c r="I28">
        <f>+I27*(1-Probs_Hombres!I27)</f>
        <v>96447.147688698082</v>
      </c>
      <c r="J28">
        <f>+J27*(1-Probs_Hombres!J27)</f>
        <v>96447.841107666492</v>
      </c>
      <c r="K28">
        <f>+K27*(1-Probs_Hombres!K27)</f>
        <v>96448.311771777604</v>
      </c>
      <c r="L28">
        <f>+L27*(1-Probs_Hombres!L27)</f>
        <v>96448.631265979944</v>
      </c>
      <c r="M28">
        <f>+M27*(1-Probs_Hombres!M27)</f>
        <v>96448.848156055203</v>
      </c>
      <c r="N28">
        <f>+N27*(1-Probs_Hombres!N27)</f>
        <v>96448.995398565865</v>
      </c>
      <c r="O28">
        <f>+O27*(1-Probs_Hombres!O27)</f>
        <v>96449.095361312167</v>
      </c>
      <c r="P28">
        <f>+P27*(1-Probs_Hombres!P27)</f>
        <v>96449.163227101395</v>
      </c>
      <c r="Q28">
        <f>+Q27*(1-Probs_Hombres!Q27)</f>
        <v>96449.209302478441</v>
      </c>
      <c r="R28">
        <f>+R27*(1-Probs_Hombres!R27)</f>
        <v>96449.240584187253</v>
      </c>
      <c r="S28">
        <f>+S27*(1-Probs_Hombres!S27)</f>
        <v>96449.261822229018</v>
      </c>
      <c r="T28">
        <f>+T27*(1-Probs_Hombres!T27)</f>
        <v>96449.276241394196</v>
      </c>
      <c r="U28">
        <f>+U27*(1-Probs_Hombres!U27)</f>
        <v>96449.286031037875</v>
      </c>
      <c r="V28">
        <f>+V27*(1-Probs_Hombres!V27)</f>
        <v>96449.292677559337</v>
      </c>
      <c r="W28">
        <f>+W27*(1-Probs_Hombres!W27)</f>
        <v>96449.297190113852</v>
      </c>
      <c r="X28">
        <f>+X27*(1-Probs_Hombres!X27)</f>
        <v>96449.300253846348</v>
      </c>
      <c r="Y28">
        <f>+Y27*(1-Probs_Hombres!Y27)</f>
        <v>96449.302333923697</v>
      </c>
      <c r="Z28">
        <f>+Z27*(1-Probs_Hombres!Z27)</f>
        <v>96449.303746162928</v>
      </c>
      <c r="AA28">
        <f>+AA27*(1-Probs_Hombres!AA27)</f>
        <v>96449.304704983093</v>
      </c>
      <c r="AB28">
        <f>+AB27*(1-Probs_Hombres!AB27)</f>
        <v>96449.30535596094</v>
      </c>
      <c r="AC28">
        <f>+AC27*(1-Probs_Hombres!AC27)</f>
        <v>96449.305797933339</v>
      </c>
      <c r="AD28">
        <f>+AD27*(1-Probs_Hombres!AD27)</f>
        <v>96449.306098004483</v>
      </c>
      <c r="AE28">
        <f>+AE27*(1-Probs_Hombres!AE27)</f>
        <v>96449.306301733726</v>
      </c>
      <c r="AF28">
        <f>+AF27*(1-Probs_Hombres!AF27)</f>
        <v>96449.306440052882</v>
      </c>
      <c r="AG28">
        <f>+AG27*(1-Probs_Hombres!AG27)</f>
        <v>96449.306533962837</v>
      </c>
      <c r="AH28">
        <f>+AH27*(1-Probs_Hombres!AH27)</f>
        <v>96449.306597721719</v>
      </c>
    </row>
    <row r="29" spans="1:34" x14ac:dyDescent="0.25">
      <c r="A29">
        <f>+Probs_Hombres!A29</f>
        <v>27</v>
      </c>
      <c r="B29">
        <f>+B28*(1-Probs_Hombres!B28)</f>
        <v>96177.883280449343</v>
      </c>
      <c r="C29">
        <f>+C28*(1-Probs_Hombres!C28)</f>
        <v>96188.574839741093</v>
      </c>
      <c r="D29">
        <f>+D28*(1-Probs_Hombres!D28)</f>
        <v>96195.805524014257</v>
      </c>
      <c r="E29">
        <f>+E28*(1-Probs_Hombres!E28)</f>
        <v>96200.701752018329</v>
      </c>
      <c r="F29">
        <f>+F28*(1-Probs_Hombres!F28)</f>
        <v>96204.020028534476</v>
      </c>
      <c r="G29">
        <f>+G28*(1-Probs_Hombres!G28)</f>
        <v>96206.270189484072</v>
      </c>
      <c r="H29">
        <f>+H28*(1-Probs_Hombres!H28)</f>
        <v>96207.796645364971</v>
      </c>
      <c r="I29">
        <f>+I28*(1-Probs_Hombres!I28)</f>
        <v>96208.832431433068</v>
      </c>
      <c r="J29">
        <f>+J28*(1-Probs_Hombres!J28)</f>
        <v>96209.535396944993</v>
      </c>
      <c r="K29">
        <f>+K28*(1-Probs_Hombres!K28)</f>
        <v>96210.012542646713</v>
      </c>
      <c r="L29">
        <f>+L28*(1-Probs_Hombres!L28)</f>
        <v>96210.336437480611</v>
      </c>
      <c r="M29">
        <f>+M28*(1-Probs_Hombres!M28)</f>
        <v>96210.556315325055</v>
      </c>
      <c r="N29">
        <f>+N28*(1-Probs_Hombres!N28)</f>
        <v>96210.705586350363</v>
      </c>
      <c r="O29">
        <f>+O28*(1-Probs_Hombres!O28)</f>
        <v>96210.806926333462</v>
      </c>
      <c r="P29">
        <f>+P28*(1-Probs_Hombres!P28)</f>
        <v>96210.87572718093</v>
      </c>
      <c r="Q29">
        <f>+Q28*(1-Probs_Hombres!Q28)</f>
        <v>96210.92243740402</v>
      </c>
      <c r="R29">
        <f>+R28*(1-Probs_Hombres!R28)</f>
        <v>96210.954150133359</v>
      </c>
      <c r="S29">
        <f>+S28*(1-Probs_Hombres!S28)</f>
        <v>96210.97568081088</v>
      </c>
      <c r="T29">
        <f>+T28*(1-Probs_Hombres!T28)</f>
        <v>96210.990298657227</v>
      </c>
      <c r="U29">
        <f>+U28*(1-Probs_Hombres!U28)</f>
        <v>96211.000223192837</v>
      </c>
      <c r="V29">
        <f>+V28*(1-Probs_Hombres!V28)</f>
        <v>96211.006961297375</v>
      </c>
      <c r="W29">
        <f>+W28*(1-Probs_Hombres!W28)</f>
        <v>96211.011536030972</v>
      </c>
      <c r="X29">
        <f>+X28*(1-Probs_Hombres!X28)</f>
        <v>96211.014641979142</v>
      </c>
      <c r="Y29">
        <f>+Y28*(1-Probs_Hombres!Y28)</f>
        <v>96211.016750718234</v>
      </c>
      <c r="Z29">
        <f>+Z28*(1-Probs_Hombres!Z28)</f>
        <v>96211.01818241697</v>
      </c>
      <c r="AA29">
        <f>+AA28*(1-Probs_Hombres!AA28)</f>
        <v>96211.019154448906</v>
      </c>
      <c r="AB29">
        <f>+AB28*(1-Probs_Hombres!AB28)</f>
        <v>96211.019814396714</v>
      </c>
      <c r="AC29">
        <f>+AC28*(1-Probs_Hombres!AC28)</f>
        <v>96211.020262459133</v>
      </c>
      <c r="AD29">
        <f>+AD28*(1-Probs_Hombres!AD28)</f>
        <v>96211.020566665029</v>
      </c>
      <c r="AE29">
        <f>+AE28*(1-Probs_Hombres!AE28)</f>
        <v>96211.020773201497</v>
      </c>
      <c r="AF29">
        <f>+AF28*(1-Probs_Hombres!AF28)</f>
        <v>96211.020913426575</v>
      </c>
      <c r="AG29">
        <f>+AG28*(1-Probs_Hombres!AG28)</f>
        <v>96211.021008630545</v>
      </c>
      <c r="AH29">
        <f>+AH28*(1-Probs_Hombres!AH28)</f>
        <v>96211.02107326797</v>
      </c>
    </row>
    <row r="30" spans="1:34" x14ac:dyDescent="0.25">
      <c r="A30">
        <f>+Probs_Hombres!A30</f>
        <v>28</v>
      </c>
      <c r="B30">
        <f>+B29*(1-Probs_Hombres!B29)</f>
        <v>95937.068325976768</v>
      </c>
      <c r="C30">
        <f>+C29*(1-Probs_Hombres!C29)</f>
        <v>95947.941746508528</v>
      </c>
      <c r="D30">
        <f>+D29*(1-Probs_Hombres!D29)</f>
        <v>95955.295897068005</v>
      </c>
      <c r="E30">
        <f>+E29*(1-Probs_Hombres!E29)</f>
        <v>95960.275947919916</v>
      </c>
      <c r="F30">
        <f>+F29*(1-Probs_Hombres!F29)</f>
        <v>95963.651133424573</v>
      </c>
      <c r="G30">
        <f>+G29*(1-Probs_Hombres!G29)</f>
        <v>95965.939931299319</v>
      </c>
      <c r="H30">
        <f>+H29*(1-Probs_Hombres!H29)</f>
        <v>95967.492618886914</v>
      </c>
      <c r="I30">
        <f>+I29*(1-Probs_Hombres!I29)</f>
        <v>95968.546214472328</v>
      </c>
      <c r="J30">
        <f>+J29*(1-Probs_Hombres!J29)</f>
        <v>95969.261271447671</v>
      </c>
      <c r="K30">
        <f>+K29*(1-Probs_Hombres!K29)</f>
        <v>95969.746626453634</v>
      </c>
      <c r="L30">
        <f>+L29*(1-Probs_Hombres!L29)</f>
        <v>95970.076094869102</v>
      </c>
      <c r="M30">
        <f>+M29*(1-Probs_Hombres!M29)</f>
        <v>95970.299756814653</v>
      </c>
      <c r="N30">
        <f>+N29*(1-Probs_Hombres!N29)</f>
        <v>95970.451597001113</v>
      </c>
      <c r="O30">
        <f>+O29*(1-Probs_Hombres!O29)</f>
        <v>95970.554681279973</v>
      </c>
      <c r="P30">
        <f>+P29*(1-Probs_Hombres!P29)</f>
        <v>95970.624666392789</v>
      </c>
      <c r="Q30">
        <f>+Q29*(1-Probs_Hombres!Q29)</f>
        <v>95970.672180656504</v>
      </c>
      <c r="R30">
        <f>+R29*(1-Probs_Hombres!R29)</f>
        <v>95970.704439278212</v>
      </c>
      <c r="S30">
        <f>+S29*(1-Probs_Hombres!S29)</f>
        <v>95970.726340581896</v>
      </c>
      <c r="T30">
        <f>+T29*(1-Probs_Hombres!T29)</f>
        <v>95970.74121005983</v>
      </c>
      <c r="U30">
        <f>+U29*(1-Probs_Hombres!U29)</f>
        <v>95970.751305437283</v>
      </c>
      <c r="V30">
        <f>+V29*(1-Probs_Hombres!V29)</f>
        <v>95970.75815953259</v>
      </c>
      <c r="W30">
        <f>+W29*(1-Probs_Hombres!W29)</f>
        <v>95970.762813016525</v>
      </c>
      <c r="X30">
        <f>+X29*(1-Probs_Hombres!X29)</f>
        <v>95970.765972431182</v>
      </c>
      <c r="Y30">
        <f>+Y29*(1-Probs_Hombres!Y29)</f>
        <v>95970.768117470623</v>
      </c>
      <c r="Z30">
        <f>+Z29*(1-Probs_Hombres!Z29)</f>
        <v>95970.769573814978</v>
      </c>
      <c r="AA30">
        <f>+AA29*(1-Probs_Hombres!AA29)</f>
        <v>95970.770562579739</v>
      </c>
      <c r="AB30">
        <f>+AB29*(1-Probs_Hombres!AB29)</f>
        <v>95970.771233888052</v>
      </c>
      <c r="AC30">
        <f>+AC29*(1-Probs_Hombres!AC29)</f>
        <v>95970.771689663554</v>
      </c>
      <c r="AD30">
        <f>+AD29*(1-Probs_Hombres!AD29)</f>
        <v>95970.771999106117</v>
      </c>
      <c r="AE30">
        <f>+AE29*(1-Probs_Hombres!AE29)</f>
        <v>95970.772209197967</v>
      </c>
      <c r="AF30">
        <f>+AF29*(1-Probs_Hombres!AF29)</f>
        <v>95970.772351836931</v>
      </c>
      <c r="AG30">
        <f>+AG29*(1-Probs_Hombres!AG29)</f>
        <v>95970.772448679767</v>
      </c>
      <c r="AH30">
        <f>+AH29*(1-Probs_Hombres!AH29)</f>
        <v>95970.772514429875</v>
      </c>
    </row>
    <row r="31" spans="1:34" x14ac:dyDescent="0.25">
      <c r="A31">
        <f>+Probs_Hombres!A31</f>
        <v>29</v>
      </c>
      <c r="B31">
        <f>+B30*(1-Probs_Hombres!B30)</f>
        <v>95693.202618641255</v>
      </c>
      <c r="C31">
        <f>+C30*(1-Probs_Hombres!C30)</f>
        <v>95704.239644412301</v>
      </c>
      <c r="D31">
        <f>+D30*(1-Probs_Hombres!D30)</f>
        <v>95711.704883481172</v>
      </c>
      <c r="E31">
        <f>+E30*(1-Probs_Hombres!E30)</f>
        <v>95716.760361238979</v>
      </c>
      <c r="F31">
        <f>+F30*(1-Probs_Hombres!F30)</f>
        <v>95720.186759007498</v>
      </c>
      <c r="G31">
        <f>+G30*(1-Probs_Hombres!G30)</f>
        <v>95722.510327746277</v>
      </c>
      <c r="H31">
        <f>+H30*(1-Probs_Hombres!H30)</f>
        <v>95724.086622992574</v>
      </c>
      <c r="I31">
        <f>+I30*(1-Probs_Hombres!I30)</f>
        <v>95725.156246884624</v>
      </c>
      <c r="J31">
        <f>+J30*(1-Probs_Hombres!J30)</f>
        <v>95725.882186156348</v>
      </c>
      <c r="K31">
        <f>+K30*(1-Probs_Hombres!K30)</f>
        <v>95726.374929593585</v>
      </c>
      <c r="L31">
        <f>+L30*(1-Probs_Hombres!L30)</f>
        <v>95726.709414304409</v>
      </c>
      <c r="M31">
        <f>+M30*(1-Probs_Hombres!M30)</f>
        <v>95726.936482004996</v>
      </c>
      <c r="N31">
        <f>+N30*(1-Probs_Hombres!N30)</f>
        <v>95727.090634486958</v>
      </c>
      <c r="O31">
        <f>+O30*(1-Probs_Hombres!O30)</f>
        <v>95727.195288669507</v>
      </c>
      <c r="P31">
        <f>+P30*(1-Probs_Hombres!P30)</f>
        <v>95727.266339648078</v>
      </c>
      <c r="Q31">
        <f>+Q30*(1-Probs_Hombres!Q30)</f>
        <v>95727.314577567333</v>
      </c>
      <c r="R31">
        <f>+R30*(1-Probs_Hombres!R30)</f>
        <v>95727.347327505369</v>
      </c>
      <c r="S31">
        <f>+S30*(1-Probs_Hombres!S30)</f>
        <v>95727.369562381704</v>
      </c>
      <c r="T31">
        <f>+T30*(1-Probs_Hombres!T30)</f>
        <v>95727.38465833434</v>
      </c>
      <c r="U31">
        <f>+U30*(1-Probs_Hombres!U30)</f>
        <v>95727.394907473732</v>
      </c>
      <c r="V31">
        <f>+V30*(1-Probs_Hombres!V30)</f>
        <v>95727.401865963635</v>
      </c>
      <c r="W31">
        <f>+W30*(1-Probs_Hombres!W30)</f>
        <v>95727.40659032487</v>
      </c>
      <c r="X31">
        <f>+X30*(1-Probs_Hombres!X30)</f>
        <v>95727.409797860702</v>
      </c>
      <c r="Y31">
        <f>+Y30*(1-Probs_Hombres!Y30)</f>
        <v>95727.411975571376</v>
      </c>
      <c r="Z31">
        <f>+Z30*(1-Probs_Hombres!Z30)</f>
        <v>95727.413454097419</v>
      </c>
      <c r="AA31">
        <f>+AA30*(1-Probs_Hombres!AA30)</f>
        <v>95727.414457922132</v>
      </c>
      <c r="AB31">
        <f>+AB30*(1-Probs_Hombres!AB30)</f>
        <v>95727.415139455203</v>
      </c>
      <c r="AC31">
        <f>+AC30*(1-Probs_Hombres!AC30)</f>
        <v>95727.415602172667</v>
      </c>
      <c r="AD31">
        <f>+AD30*(1-Probs_Hombres!AD30)</f>
        <v>95727.415916328377</v>
      </c>
      <c r="AE31">
        <f>+AE30*(1-Probs_Hombres!AE30)</f>
        <v>95727.416129620164</v>
      </c>
      <c r="AF31">
        <f>+AF30*(1-Probs_Hombres!AF30)</f>
        <v>95727.416274431671</v>
      </c>
      <c r="AG31">
        <f>+AG30*(1-Probs_Hombres!AG30)</f>
        <v>95727.416372749532</v>
      </c>
      <c r="AH31">
        <f>+AH30*(1-Probs_Hombres!AH30)</f>
        <v>95727.416439501088</v>
      </c>
    </row>
    <row r="32" spans="1:34" x14ac:dyDescent="0.25">
      <c r="A32">
        <f>+Probs_Hombres!A32</f>
        <v>30</v>
      </c>
      <c r="B32">
        <f>+B31*(1-Probs_Hombres!B31)</f>
        <v>95447.295892755385</v>
      </c>
      <c r="C32">
        <f>+C31*(1-Probs_Hombres!C31)</f>
        <v>95458.465436346523</v>
      </c>
      <c r="D32">
        <f>+D31*(1-Probs_Hombres!D31)</f>
        <v>95466.020680218862</v>
      </c>
      <c r="E32">
        <f>+E31*(1-Probs_Hombres!E31)</f>
        <v>95471.137280839917</v>
      </c>
      <c r="F32">
        <f>+F31*(1-Probs_Hombres!F31)</f>
        <v>95474.605184155414</v>
      </c>
      <c r="G32">
        <f>+G31*(1-Probs_Hombres!G31)</f>
        <v>95476.95693573574</v>
      </c>
      <c r="H32">
        <f>+H31*(1-Probs_Hombres!H31)</f>
        <v>95478.552366816133</v>
      </c>
      <c r="I32">
        <f>+I31*(1-Probs_Hombres!I31)</f>
        <v>95479.634983402066</v>
      </c>
      <c r="J32">
        <f>+J31*(1-Probs_Hombres!J31)</f>
        <v>95480.369744199605</v>
      </c>
      <c r="K32">
        <f>+K31*(1-Probs_Hombres!K31)</f>
        <v>95480.868477036114</v>
      </c>
      <c r="L32">
        <f>+L31*(1-Probs_Hombres!L31)</f>
        <v>95481.207028234712</v>
      </c>
      <c r="M32">
        <f>+M31*(1-Probs_Hombres!M31)</f>
        <v>95481.436856852626</v>
      </c>
      <c r="N32">
        <f>+N31*(1-Probs_Hombres!N31)</f>
        <v>95481.5928838361</v>
      </c>
      <c r="O32">
        <f>+O31*(1-Probs_Hombres!O31)</f>
        <v>95481.698810692556</v>
      </c>
      <c r="P32">
        <f>+P31*(1-Probs_Hombres!P31)</f>
        <v>95481.770725738825</v>
      </c>
      <c r="Q32">
        <f>+Q31*(1-Probs_Hombres!Q31)</f>
        <v>95481.819550306536</v>
      </c>
      <c r="R32">
        <f>+R31*(1-Probs_Hombres!R31)</f>
        <v>95481.852698542236</v>
      </c>
      <c r="S32">
        <f>+S31*(1-Probs_Hombres!S31)</f>
        <v>95481.87520383767</v>
      </c>
      <c r="T32">
        <f>+T31*(1-Probs_Hombres!T31)</f>
        <v>95481.890483387819</v>
      </c>
      <c r="U32">
        <f>+U31*(1-Probs_Hombres!U31)</f>
        <v>95481.900857178334</v>
      </c>
      <c r="V32">
        <f>+V31*(1-Probs_Hombres!V31)</f>
        <v>95481.907900298451</v>
      </c>
      <c r="W32">
        <f>+W31*(1-Probs_Hombres!W31)</f>
        <v>95481.912682118229</v>
      </c>
      <c r="X32">
        <f>+X31*(1-Probs_Hombres!X31)</f>
        <v>95481.915928664777</v>
      </c>
      <c r="Y32">
        <f>+Y31*(1-Probs_Hombres!Y31)</f>
        <v>95481.918132861247</v>
      </c>
      <c r="Z32">
        <f>+Z31*(1-Probs_Hombres!Z31)</f>
        <v>95481.919629369469</v>
      </c>
      <c r="AA32">
        <f>+AA31*(1-Probs_Hombres!AA31)</f>
        <v>95481.920645402948</v>
      </c>
      <c r="AB32">
        <f>+AB31*(1-Probs_Hombres!AB31)</f>
        <v>95481.921335224979</v>
      </c>
      <c r="AC32">
        <f>+AC31*(1-Probs_Hombres!AC31)</f>
        <v>95481.92180357012</v>
      </c>
      <c r="AD32">
        <f>+AD31*(1-Probs_Hombres!AD31)</f>
        <v>95481.922121546668</v>
      </c>
      <c r="AE32">
        <f>+AE31*(1-Probs_Hombres!AE31)</f>
        <v>95481.922337432567</v>
      </c>
      <c r="AF32">
        <f>+AF31*(1-Probs_Hombres!AF31)</f>
        <v>95481.922484005307</v>
      </c>
      <c r="AG32">
        <f>+AG31*(1-Probs_Hombres!AG31)</f>
        <v>95481.922583518928</v>
      </c>
      <c r="AH32">
        <f>+AH31*(1-Probs_Hombres!AH31)</f>
        <v>95481.922651082336</v>
      </c>
    </row>
    <row r="33" spans="1:34" x14ac:dyDescent="0.25">
      <c r="A33">
        <f>+Probs_Hombres!A33</f>
        <v>31</v>
      </c>
      <c r="B33">
        <f>+B32*(1-Probs_Hombres!B32)</f>
        <v>95201.775327298485</v>
      </c>
      <c r="C33">
        <f>+C32*(1-Probs_Hombres!C32)</f>
        <v>95213.149634659043</v>
      </c>
      <c r="D33">
        <f>+D32*(1-Probs_Hombres!D32)</f>
        <v>95220.843877195046</v>
      </c>
      <c r="E33">
        <f>+E32*(1-Probs_Hombres!E32)</f>
        <v>95226.054838328972</v>
      </c>
      <c r="F33">
        <f>+F32*(1-Probs_Hombres!F32)</f>
        <v>95229.586801426747</v>
      </c>
      <c r="G33">
        <f>+G32*(1-Probs_Hombres!G32)</f>
        <v>95231.982043201933</v>
      </c>
      <c r="H33">
        <f>+H32*(1-Probs_Hombres!H32)</f>
        <v>95233.607000283257</v>
      </c>
      <c r="I33">
        <f>+I32*(1-Probs_Hombres!I32)</f>
        <v>95234.709662649155</v>
      </c>
      <c r="J33">
        <f>+J32*(1-Probs_Hombres!J32)</f>
        <v>95235.458033027273</v>
      </c>
      <c r="K33">
        <f>+K32*(1-Probs_Hombres!K32)</f>
        <v>95235.96600579792</v>
      </c>
      <c r="L33">
        <f>+L32*(1-Probs_Hombres!L32)</f>
        <v>95236.310830275659</v>
      </c>
      <c r="M33">
        <f>+M32*(1-Probs_Hombres!M32)</f>
        <v>95236.5449180289</v>
      </c>
      <c r="N33">
        <f>+N32*(1-Probs_Hombres!N32)</f>
        <v>95236.703836684203</v>
      </c>
      <c r="O33">
        <f>+O32*(1-Probs_Hombres!O32)</f>
        <v>95236.811726797285</v>
      </c>
      <c r="P33">
        <f>+P32*(1-Probs_Hombres!P32)</f>
        <v>95236.884974767861</v>
      </c>
      <c r="Q33">
        <f>+Q32*(1-Probs_Hombres!Q32)</f>
        <v>95236.934704305473</v>
      </c>
      <c r="R33">
        <f>+R32*(1-Probs_Hombres!R32)</f>
        <v>95236.968466957755</v>
      </c>
      <c r="S33">
        <f>+S32*(1-Probs_Hombres!S32)</f>
        <v>95236.9913894028</v>
      </c>
      <c r="T33">
        <f>+T32*(1-Probs_Hombres!T32)</f>
        <v>95237.006952170923</v>
      </c>
      <c r="U33">
        <f>+U32*(1-Probs_Hombres!U32)</f>
        <v>95237.017518248409</v>
      </c>
      <c r="V33">
        <f>+V32*(1-Probs_Hombres!V32)</f>
        <v>95237.024691919141</v>
      </c>
      <c r="W33">
        <f>+W32*(1-Probs_Hombres!W32)</f>
        <v>95237.02956237449</v>
      </c>
      <c r="X33">
        <f>+X32*(1-Probs_Hombres!X32)</f>
        <v>95237.032869098941</v>
      </c>
      <c r="Y33">
        <f>+Y32*(1-Probs_Hombres!Y32)</f>
        <v>95237.035114152386</v>
      </c>
      <c r="Z33">
        <f>+Z32*(1-Probs_Hombres!Z32)</f>
        <v>95237.036638399892</v>
      </c>
      <c r="AA33">
        <f>+AA32*(1-Probs_Hombres!AA32)</f>
        <v>95237.03767326659</v>
      </c>
      <c r="AB33">
        <f>+AB32*(1-Probs_Hombres!AB32)</f>
        <v>95237.03837587517</v>
      </c>
      <c r="AC33">
        <f>+AC32*(1-Probs_Hombres!AC32)</f>
        <v>95237.038852901576</v>
      </c>
      <c r="AD33">
        <f>+AD32*(1-Probs_Hombres!AD32)</f>
        <v>95237.039176772145</v>
      </c>
      <c r="AE33">
        <f>+AE32*(1-Probs_Hombres!AE32)</f>
        <v>95237.039396659718</v>
      </c>
      <c r="AF33">
        <f>+AF32*(1-Probs_Hombres!AF32)</f>
        <v>95237.03954594933</v>
      </c>
      <c r="AG33">
        <f>+AG32*(1-Probs_Hombres!AG32)</f>
        <v>95237.039647307553</v>
      </c>
      <c r="AH33">
        <f>+AH32*(1-Probs_Hombres!AH32)</f>
        <v>95237.039716123312</v>
      </c>
    </row>
    <row r="34" spans="1:34" x14ac:dyDescent="0.25">
      <c r="A34">
        <f>+Probs_Hombres!A34</f>
        <v>32</v>
      </c>
      <c r="B34">
        <f>+B33*(1-Probs_Hombres!B33)</f>
        <v>94961.185150149933</v>
      </c>
      <c r="C34">
        <f>+C33*(1-Probs_Hombres!C33)</f>
        <v>94972.839549841869</v>
      </c>
      <c r="D34">
        <f>+D33*(1-Probs_Hombres!D33)</f>
        <v>94980.723844728462</v>
      </c>
      <c r="E34">
        <f>+E33*(1-Probs_Hombres!E33)</f>
        <v>94986.063787298262</v>
      </c>
      <c r="F34">
        <f>+F33*(1-Probs_Hombres!F33)</f>
        <v>94989.68329656175</v>
      </c>
      <c r="G34">
        <f>+G33*(1-Probs_Hombres!G33)</f>
        <v>94992.13796552729</v>
      </c>
      <c r="H34">
        <f>+H33*(1-Probs_Hombres!H33)</f>
        <v>94993.803264776667</v>
      </c>
      <c r="I34">
        <f>+I33*(1-Probs_Hombres!I33)</f>
        <v>94994.933314550668</v>
      </c>
      <c r="J34">
        <f>+J33*(1-Probs_Hombres!J33)</f>
        <v>94995.700278150121</v>
      </c>
      <c r="K34">
        <f>+K33*(1-Probs_Hombres!K33)</f>
        <v>94996.220874034741</v>
      </c>
      <c r="L34">
        <f>+L33*(1-Probs_Hombres!L33)</f>
        <v>94996.574268573429</v>
      </c>
      <c r="M34">
        <f>+M33*(1-Probs_Hombres!M33)</f>
        <v>94996.814174746847</v>
      </c>
      <c r="N34">
        <f>+N33*(1-Probs_Hombres!N33)</f>
        <v>94996.977043690596</v>
      </c>
      <c r="O34">
        <f>+O33*(1-Probs_Hombres!O33)</f>
        <v>94997.087615775876</v>
      </c>
      <c r="P34">
        <f>+P33*(1-Probs_Hombres!P33)</f>
        <v>94997.162684624724</v>
      </c>
      <c r="Q34">
        <f>+Q33*(1-Probs_Hombres!Q33)</f>
        <v>94997.213650418184</v>
      </c>
      <c r="R34">
        <f>+R33*(1-Probs_Hombres!R33)</f>
        <v>94997.248252407415</v>
      </c>
      <c r="S34">
        <f>+S33*(1-Probs_Hombres!S33)</f>
        <v>94997.271744707905</v>
      </c>
      <c r="T34">
        <f>+T33*(1-Probs_Hombres!T33)</f>
        <v>94997.287694371189</v>
      </c>
      <c r="U34">
        <f>+U33*(1-Probs_Hombres!U33)</f>
        <v>94997.29852312569</v>
      </c>
      <c r="V34">
        <f>+V33*(1-Probs_Hombres!V33)</f>
        <v>94997.305875137332</v>
      </c>
      <c r="W34">
        <f>+W33*(1-Probs_Hombres!W33)</f>
        <v>94997.310866674772</v>
      </c>
      <c r="X34">
        <f>+X33*(1-Probs_Hombres!X33)</f>
        <v>94997.314255606252</v>
      </c>
      <c r="Y34">
        <f>+Y33*(1-Probs_Hombres!Y33)</f>
        <v>94997.316556473044</v>
      </c>
      <c r="Z34">
        <f>+Z33*(1-Probs_Hombres!Z33)</f>
        <v>94997.318118614261</v>
      </c>
      <c r="AA34">
        <f>+AA33*(1-Probs_Hombres!AA33)</f>
        <v>94997.319179208367</v>
      </c>
      <c r="AB34">
        <f>+AB33*(1-Probs_Hombres!AB33)</f>
        <v>94997.319899284223</v>
      </c>
      <c r="AC34">
        <f>+AC33*(1-Probs_Hombres!AC33)</f>
        <v>94997.320388169814</v>
      </c>
      <c r="AD34">
        <f>+AD33*(1-Probs_Hombres!AD33)</f>
        <v>94997.320720092001</v>
      </c>
      <c r="AE34">
        <f>+AE33*(1-Probs_Hombres!AE33)</f>
        <v>94997.320945446118</v>
      </c>
      <c r="AF34">
        <f>+AF33*(1-Probs_Hombres!AF33)</f>
        <v>94997.321098447166</v>
      </c>
      <c r="AG34">
        <f>+AG33*(1-Probs_Hombres!AG33)</f>
        <v>94997.321202325213</v>
      </c>
      <c r="AH34">
        <f>+AH33*(1-Probs_Hombres!AH33)</f>
        <v>94997.321272851783</v>
      </c>
    </row>
    <row r="35" spans="1:34" x14ac:dyDescent="0.25">
      <c r="A35">
        <f>+Probs_Hombres!A35</f>
        <v>33</v>
      </c>
      <c r="B35">
        <f>+B34*(1-Probs_Hombres!B34)</f>
        <v>94724.486091631232</v>
      </c>
      <c r="C35">
        <f>+C34*(1-Probs_Hombres!C34)</f>
        <v>94736.489762660814</v>
      </c>
      <c r="D35">
        <f>+D34*(1-Probs_Hombres!D34)</f>
        <v>94744.610969620218</v>
      </c>
      <c r="E35">
        <f>+E34*(1-Probs_Hombres!E34)</f>
        <v>94750.111658471476</v>
      </c>
      <c r="F35">
        <f>+F34*(1-Probs_Hombres!F34)</f>
        <v>94753.840257214033</v>
      </c>
      <c r="G35">
        <f>+G34*(1-Probs_Hombres!G34)</f>
        <v>94756.368969314717</v>
      </c>
      <c r="H35">
        <f>+H34*(1-Probs_Hombres!H34)</f>
        <v>94758.084529147221</v>
      </c>
      <c r="I35">
        <f>+I34*(1-Probs_Hombres!I34)</f>
        <v>94759.248698052746</v>
      </c>
      <c r="J35">
        <f>+J34*(1-Probs_Hombres!J34)</f>
        <v>94760.038824248928</v>
      </c>
      <c r="K35">
        <f>+K34*(1-Probs_Hombres!K34)</f>
        <v>94760.575145085095</v>
      </c>
      <c r="L35">
        <f>+L34*(1-Probs_Hombres!L34)</f>
        <v>94760.939215415041</v>
      </c>
      <c r="M35">
        <f>+M34*(1-Probs_Hombres!M34)</f>
        <v>94761.18636956418</v>
      </c>
      <c r="N35">
        <f>+N34*(1-Probs_Hombres!N34)</f>
        <v>94761.354159326947</v>
      </c>
      <c r="O35">
        <f>+O34*(1-Probs_Hombres!O34)</f>
        <v>94761.468072291449</v>
      </c>
      <c r="P35">
        <f>+P34*(1-Probs_Hombres!P34)</f>
        <v>94761.545409364626</v>
      </c>
      <c r="Q35">
        <f>+Q34*(1-Probs_Hombres!Q34)</f>
        <v>94761.597915128892</v>
      </c>
      <c r="R35">
        <f>+R34*(1-Probs_Hombres!R34)</f>
        <v>94761.633562656134</v>
      </c>
      <c r="S35">
        <f>+S34*(1-Probs_Hombres!S34)</f>
        <v>94761.657764808493</v>
      </c>
      <c r="T35">
        <f>+T34*(1-Probs_Hombres!T34)</f>
        <v>94761.674196415188</v>
      </c>
      <c r="U35">
        <f>+U34*(1-Probs_Hombres!U34)</f>
        <v>94761.685352378205</v>
      </c>
      <c r="V35">
        <f>+V34*(1-Probs_Hombres!V34)</f>
        <v>94761.692926543459</v>
      </c>
      <c r="W35">
        <f>+W34*(1-Probs_Hombres!W34)</f>
        <v>94761.698068908998</v>
      </c>
      <c r="X35">
        <f>+X34*(1-Probs_Hombres!X34)</f>
        <v>94761.70156024312</v>
      </c>
      <c r="Y35">
        <f>+Y34*(1-Probs_Hombres!Y34)</f>
        <v>94761.703930634787</v>
      </c>
      <c r="Z35">
        <f>+Z34*(1-Probs_Hombres!Z34)</f>
        <v>94761.705539978968</v>
      </c>
      <c r="AA35">
        <f>+AA34*(1-Probs_Hombres!AA34)</f>
        <v>94761.706632620888</v>
      </c>
      <c r="AB35">
        <f>+AB34*(1-Probs_Hombres!AB34)</f>
        <v>94761.70737445516</v>
      </c>
      <c r="AC35">
        <f>+AC34*(1-Probs_Hombres!AC34)</f>
        <v>94761.707878113346</v>
      </c>
      <c r="AD35">
        <f>+AD34*(1-Probs_Hombres!AD34)</f>
        <v>94761.708220065178</v>
      </c>
      <c r="AE35">
        <f>+AE34*(1-Probs_Hombres!AE34)</f>
        <v>94761.708452228777</v>
      </c>
      <c r="AF35">
        <f>+AF34*(1-Probs_Hombres!AF34)</f>
        <v>94761.708609853056</v>
      </c>
      <c r="AG35">
        <f>+AG34*(1-Probs_Hombres!AG34)</f>
        <v>94761.708716869951</v>
      </c>
      <c r="AH35">
        <f>+AH34*(1-Probs_Hombres!AH34)</f>
        <v>94761.708789527635</v>
      </c>
    </row>
    <row r="36" spans="1:34" x14ac:dyDescent="0.25">
      <c r="A36">
        <f>+Probs_Hombres!A36</f>
        <v>34</v>
      </c>
      <c r="B36">
        <f>+B35*(1-Probs_Hombres!B35)</f>
        <v>94489.330432491071</v>
      </c>
      <c r="C36">
        <f>+C35*(1-Probs_Hombres!C35)</f>
        <v>94501.703973168376</v>
      </c>
      <c r="D36">
        <f>+D35*(1-Probs_Hombres!D35)</f>
        <v>94510.076039726162</v>
      </c>
      <c r="E36">
        <f>+E35*(1-Probs_Hombres!E35)</f>
        <v>94515.746927116226</v>
      </c>
      <c r="F36">
        <f>+F35*(1-Probs_Hombres!F35)</f>
        <v>94519.591024886293</v>
      </c>
      <c r="G36">
        <f>+G35*(1-Probs_Hombres!G35)</f>
        <v>94522.198128143325</v>
      </c>
      <c r="H36">
        <f>+H35*(1-Probs_Hombres!H35)</f>
        <v>94523.966898905011</v>
      </c>
      <c r="I36">
        <f>+I35*(1-Probs_Hombres!I35)</f>
        <v>94525.167189263506</v>
      </c>
      <c r="J36">
        <f>+J35*(1-Probs_Hombres!J35)</f>
        <v>94525.981837147774</v>
      </c>
      <c r="K36">
        <f>+K35*(1-Probs_Hombres!K35)</f>
        <v>94526.534805507312</v>
      </c>
      <c r="L36">
        <f>+L35*(1-Probs_Hombres!L35)</f>
        <v>94526.910177920203</v>
      </c>
      <c r="M36">
        <f>+M35*(1-Probs_Hombres!M35)</f>
        <v>94527.165005222283</v>
      </c>
      <c r="N36">
        <f>+N35*(1-Probs_Hombres!N35)</f>
        <v>94527.338004456265</v>
      </c>
      <c r="O36">
        <f>+O35*(1-Probs_Hombres!O35)</f>
        <v>94527.455454269046</v>
      </c>
      <c r="P36">
        <f>+P35*(1-Probs_Hombres!P35)</f>
        <v>94527.53519261365</v>
      </c>
      <c r="Q36">
        <f>+Q35*(1-Probs_Hombres!Q35)</f>
        <v>94527.589328677685</v>
      </c>
      <c r="R36">
        <f>+R35*(1-Probs_Hombres!R35)</f>
        <v>94527.626083069816</v>
      </c>
      <c r="S36">
        <f>+S35*(1-Probs_Hombres!S35)</f>
        <v>94527.651036710769</v>
      </c>
      <c r="T36">
        <f>+T35*(1-Probs_Hombres!T35)</f>
        <v>94527.667978529411</v>
      </c>
      <c r="U36">
        <f>+U35*(1-Probs_Hombres!U35)</f>
        <v>94527.679480893421</v>
      </c>
      <c r="V36">
        <f>+V35*(1-Probs_Hombres!V35)</f>
        <v>94527.687290242713</v>
      </c>
      <c r="W36">
        <f>+W35*(1-Probs_Hombres!W35)</f>
        <v>94527.692592283172</v>
      </c>
      <c r="X36">
        <f>+X35*(1-Probs_Hombres!X35)</f>
        <v>94527.696192026371</v>
      </c>
      <c r="Y36">
        <f>+Y35*(1-Probs_Hombres!Y35)</f>
        <v>94527.698636020883</v>
      </c>
      <c r="Z36">
        <f>+Z35*(1-Probs_Hombres!Z35)</f>
        <v>94527.700295336719</v>
      </c>
      <c r="AA36">
        <f>+AA35*(1-Probs_Hombres!AA35)</f>
        <v>94527.701421906197</v>
      </c>
      <c r="AB36">
        <f>+AB35*(1-Probs_Hombres!AB35)</f>
        <v>94527.702186775132</v>
      </c>
      <c r="AC36">
        <f>+AC35*(1-Probs_Hombres!AC35)</f>
        <v>94527.702706072392</v>
      </c>
      <c r="AD36">
        <f>+AD35*(1-Probs_Hombres!AD35)</f>
        <v>94527.703058642161</v>
      </c>
      <c r="AE36">
        <f>+AE35*(1-Probs_Hombres!AE35)</f>
        <v>94527.703298014676</v>
      </c>
      <c r="AF36">
        <f>+AF35*(1-Probs_Hombres!AF35)</f>
        <v>94527.703460533332</v>
      </c>
      <c r="AG36">
        <f>+AG35*(1-Probs_Hombres!AG35)</f>
        <v>94527.7035708732</v>
      </c>
      <c r="AH36">
        <f>+AH35*(1-Probs_Hombres!AH35)</f>
        <v>94527.703645786984</v>
      </c>
    </row>
    <row r="37" spans="1:34" x14ac:dyDescent="0.25">
      <c r="A37">
        <f>+Probs_Hombres!A37</f>
        <v>35</v>
      </c>
      <c r="B37">
        <f>+B36*(1-Probs_Hombres!B36)</f>
        <v>94253.259516238628</v>
      </c>
      <c r="C37">
        <f>+C36*(1-Probs_Hombres!C36)</f>
        <v>94265.974683611596</v>
      </c>
      <c r="D37">
        <f>+D36*(1-Probs_Hombres!D36)</f>
        <v>94274.578485612961</v>
      </c>
      <c r="E37">
        <f>+E36*(1-Probs_Hombres!E36)</f>
        <v>94280.406610940379</v>
      </c>
      <c r="F37">
        <f>+F36*(1-Probs_Hombres!F36)</f>
        <v>94284.357419128602</v>
      </c>
      <c r="G37">
        <f>+G36*(1-Probs_Hombres!G36)</f>
        <v>94287.036951617061</v>
      </c>
      <c r="H37">
        <f>+H36*(1-Probs_Hombres!H36)</f>
        <v>94288.85488783542</v>
      </c>
      <c r="I37">
        <f>+I36*(1-Probs_Hombres!I36)</f>
        <v>94290.088554085989</v>
      </c>
      <c r="J37">
        <f>+J36*(1-Probs_Hombres!J36)</f>
        <v>94290.925860084521</v>
      </c>
      <c r="K37">
        <f>+K36*(1-Probs_Hombres!K36)</f>
        <v>94291.494210943914</v>
      </c>
      <c r="L37">
        <f>+L36*(1-Probs_Hombres!L36)</f>
        <v>94291.880026672719</v>
      </c>
      <c r="M37">
        <f>+M36*(1-Probs_Hombres!M36)</f>
        <v>94292.141944127259</v>
      </c>
      <c r="N37">
        <f>+N36*(1-Probs_Hombres!N36)</f>
        <v>94292.319757034144</v>
      </c>
      <c r="O37">
        <f>+O36*(1-Probs_Hombres!O36)</f>
        <v>94292.440474983436</v>
      </c>
      <c r="P37">
        <f>+P36*(1-Probs_Hombres!P36)</f>
        <v>94292.522432165948</v>
      </c>
      <c r="Q37">
        <f>+Q36*(1-Probs_Hombres!Q36)</f>
        <v>94292.578074671124</v>
      </c>
      <c r="R37">
        <f>+R36*(1-Probs_Hombres!R36)</f>
        <v>94292.615851837007</v>
      </c>
      <c r="S37">
        <f>+S36*(1-Probs_Hombres!S36)</f>
        <v>94292.641499874473</v>
      </c>
      <c r="T37">
        <f>+T36*(1-Probs_Hombres!T36)</f>
        <v>94292.658913143357</v>
      </c>
      <c r="U37">
        <f>+U36*(1-Probs_Hombres!U36)</f>
        <v>94292.670735591746</v>
      </c>
      <c r="V37">
        <f>+V36*(1-Probs_Hombres!V36)</f>
        <v>94292.678762257798</v>
      </c>
      <c r="W37">
        <f>+W36*(1-Probs_Hombres!W36)</f>
        <v>94292.684211842454</v>
      </c>
      <c r="X37">
        <f>+X36*(1-Probs_Hombres!X36)</f>
        <v>94292.687911758752</v>
      </c>
      <c r="Y37">
        <f>+Y36*(1-Probs_Hombres!Y36)</f>
        <v>94292.690423764405</v>
      </c>
      <c r="Z37">
        <f>+Z36*(1-Probs_Hombres!Z36)</f>
        <v>94292.692129255491</v>
      </c>
      <c r="AA37">
        <f>+AA36*(1-Probs_Hombres!AA36)</f>
        <v>94292.693287175003</v>
      </c>
      <c r="AB37">
        <f>+AB36*(1-Probs_Hombres!AB36)</f>
        <v>94292.694073328646</v>
      </c>
      <c r="AC37">
        <f>+AC36*(1-Probs_Hombres!AC36)</f>
        <v>94292.694607076861</v>
      </c>
      <c r="AD37">
        <f>+AD36*(1-Probs_Hombres!AD36)</f>
        <v>94292.694969457894</v>
      </c>
      <c r="AE37">
        <f>+AE36*(1-Probs_Hombres!AE36)</f>
        <v>94292.695215491651</v>
      </c>
      <c r="AF37">
        <f>+AF36*(1-Probs_Hombres!AF36)</f>
        <v>94292.695382532853</v>
      </c>
      <c r="AG37">
        <f>+AG36*(1-Probs_Hombres!AG36)</f>
        <v>94292.695495943248</v>
      </c>
      <c r="AH37">
        <f>+AH36*(1-Probs_Hombres!AH36)</f>
        <v>94292.695572941739</v>
      </c>
    </row>
    <row r="38" spans="1:34" x14ac:dyDescent="0.25">
      <c r="A38">
        <f>+Probs_Hombres!A38</f>
        <v>36</v>
      </c>
      <c r="B38">
        <f>+B37*(1-Probs_Hombres!B37)</f>
        <v>94017.571724755617</v>
      </c>
      <c r="C38">
        <f>+C37*(1-Probs_Hombres!C37)</f>
        <v>94030.653589771609</v>
      </c>
      <c r="D38">
        <f>+D37*(1-Probs_Hombres!D37)</f>
        <v>94039.506106149129</v>
      </c>
      <c r="E38">
        <f>+E37*(1-Probs_Hombres!E37)</f>
        <v>94045.502977394557</v>
      </c>
      <c r="F38">
        <f>+F37*(1-Probs_Hombres!F37)</f>
        <v>94049.568300144616</v>
      </c>
      <c r="G38">
        <f>+G37*(1-Probs_Hombres!G37)</f>
        <v>94052.325556215568</v>
      </c>
      <c r="H38">
        <f>+H37*(1-Probs_Hombres!H37)</f>
        <v>94054.196250498688</v>
      </c>
      <c r="I38">
        <f>+I37*(1-Probs_Hombres!I37)</f>
        <v>94055.465730909185</v>
      </c>
      <c r="J38">
        <f>+J37*(1-Probs_Hombres!J37)</f>
        <v>94056.327350043153</v>
      </c>
      <c r="K38">
        <f>+K37*(1-Probs_Hombres!K37)</f>
        <v>94056.912206868685</v>
      </c>
      <c r="L38">
        <f>+L37*(1-Probs_Hombres!L37)</f>
        <v>94057.309228589002</v>
      </c>
      <c r="M38">
        <f>+M37*(1-Probs_Hombres!M37)</f>
        <v>94057.57875396435</v>
      </c>
      <c r="N38">
        <f>+N37*(1-Probs_Hombres!N37)</f>
        <v>94057.761732057537</v>
      </c>
      <c r="O38">
        <f>+O37*(1-Probs_Hombres!O37)</f>
        <v>94057.885956790153</v>
      </c>
      <c r="P38">
        <f>+P37*(1-Probs_Hombres!P37)</f>
        <v>94057.970294832659</v>
      </c>
      <c r="Q38">
        <f>+Q37*(1-Probs_Hombres!Q37)</f>
        <v>94058.027553779873</v>
      </c>
      <c r="R38">
        <f>+R37*(1-Probs_Hombres!R37)</f>
        <v>94058.066428402293</v>
      </c>
      <c r="S38">
        <f>+S37*(1-Probs_Hombres!S37)</f>
        <v>94058.092821540777</v>
      </c>
      <c r="T38">
        <f>+T37*(1-Probs_Hombres!T37)</f>
        <v>94058.110740684861</v>
      </c>
      <c r="U38">
        <f>+U37*(1-Probs_Hombres!U37)</f>
        <v>94058.122906589895</v>
      </c>
      <c r="V38">
        <f>+V37*(1-Probs_Hombres!V37)</f>
        <v>94058.131166440959</v>
      </c>
      <c r="W38">
        <f>+W37*(1-Probs_Hombres!W37)</f>
        <v>94058.136774343337</v>
      </c>
      <c r="X38">
        <f>+X37*(1-Probs_Hombres!X37)</f>
        <v>94058.140581747255</v>
      </c>
      <c r="Y38">
        <f>+Y37*(1-Probs_Hombres!Y37)</f>
        <v>94058.143166730151</v>
      </c>
      <c r="Z38">
        <f>+Z37*(1-Probs_Hombres!Z37)</f>
        <v>94058.144921768137</v>
      </c>
      <c r="AA38">
        <f>+AA37*(1-Probs_Hombres!AA37)</f>
        <v>94058.146113326831</v>
      </c>
      <c r="AB38">
        <f>+AB37*(1-Probs_Hombres!AB37)</f>
        <v>94058.146922319342</v>
      </c>
      <c r="AC38">
        <f>+AC37*(1-Probs_Hombres!AC37)</f>
        <v>94058.147471573713</v>
      </c>
      <c r="AD38">
        <f>+AD37*(1-Probs_Hombres!AD37)</f>
        <v>94058.147844482432</v>
      </c>
      <c r="AE38">
        <f>+AE37*(1-Probs_Hombres!AE37)</f>
        <v>94058.148097663812</v>
      </c>
      <c r="AF38">
        <f>+AF37*(1-Probs_Hombres!AF37)</f>
        <v>94058.148269557802</v>
      </c>
      <c r="AG38">
        <f>+AG37*(1-Probs_Hombres!AG37)</f>
        <v>94058.148386262925</v>
      </c>
      <c r="AH38">
        <f>+AH37*(1-Probs_Hombres!AH37)</f>
        <v>94058.148465498336</v>
      </c>
    </row>
    <row r="39" spans="1:34" x14ac:dyDescent="0.25">
      <c r="A39">
        <f>+Probs_Hombres!A39</f>
        <v>37</v>
      </c>
      <c r="B39">
        <f>+B38*(1-Probs_Hombres!B38)</f>
        <v>93781.298244578196</v>
      </c>
      <c r="C39">
        <f>+C38*(1-Probs_Hombres!C38)</f>
        <v>93794.800503988721</v>
      </c>
      <c r="D39">
        <f>+D38*(1-Probs_Hombres!D38)</f>
        <v>93803.938091515956</v>
      </c>
      <c r="E39">
        <f>+E38*(1-Probs_Hombres!E38)</f>
        <v>93810.128346628524</v>
      </c>
      <c r="F39">
        <f>+F38*(1-Probs_Hombres!F38)</f>
        <v>93814.324890362957</v>
      </c>
      <c r="G39">
        <f>+G38*(1-Probs_Hombres!G38)</f>
        <v>93817.171202859259</v>
      </c>
      <c r="H39">
        <f>+H38*(1-Probs_Hombres!H38)</f>
        <v>93819.102344991989</v>
      </c>
      <c r="I39">
        <f>+I38*(1-Probs_Hombres!I38)</f>
        <v>93820.41285836621</v>
      </c>
      <c r="J39">
        <f>+J38*(1-Probs_Hombres!J38)</f>
        <v>93821.302332917097</v>
      </c>
      <c r="K39">
        <f>+K38*(1-Probs_Hombres!K38)</f>
        <v>93821.906100252832</v>
      </c>
      <c r="L39">
        <f>+L38*(1-Probs_Hombres!L38)</f>
        <v>93822.31596029448</v>
      </c>
      <c r="M39">
        <f>+M38*(1-Probs_Hombres!M38)</f>
        <v>93822.594201745393</v>
      </c>
      <c r="N39">
        <f>+N38*(1-Probs_Hombres!N38)</f>
        <v>93822.783097348496</v>
      </c>
      <c r="O39">
        <f>+O38*(1-Probs_Hombres!O38)</f>
        <v>93822.911339624465</v>
      </c>
      <c r="P39">
        <f>+P38*(1-Probs_Hombres!P38)</f>
        <v>93822.998405291451</v>
      </c>
      <c r="Q39">
        <f>+Q38*(1-Probs_Hombres!Q38)</f>
        <v>93823.057516107525</v>
      </c>
      <c r="R39">
        <f>+R38*(1-Probs_Hombres!R38)</f>
        <v>93823.097648024399</v>
      </c>
      <c r="S39">
        <f>+S38*(1-Probs_Hombres!S38)</f>
        <v>93823.124894782784</v>
      </c>
      <c r="T39">
        <f>+T38*(1-Probs_Hombres!T38)</f>
        <v>93823.143393479084</v>
      </c>
      <c r="U39">
        <f>+U38*(1-Probs_Hombres!U38)</f>
        <v>93823.155952862595</v>
      </c>
      <c r="V39">
        <f>+V38*(1-Probs_Hombres!V38)</f>
        <v>93823.164479860221</v>
      </c>
      <c r="W39">
        <f>+W38*(1-Probs_Hombres!W38)</f>
        <v>93823.170269138005</v>
      </c>
      <c r="X39">
        <f>+X38*(1-Probs_Hombres!X38)</f>
        <v>93823.174199684232</v>
      </c>
      <c r="Y39">
        <f>+Y38*(1-Probs_Hombres!Y38)</f>
        <v>93823.176868272916</v>
      </c>
      <c r="Z39">
        <f>+Z38*(1-Probs_Hombres!Z38)</f>
        <v>93823.178680073892</v>
      </c>
      <c r="AA39">
        <f>+AA38*(1-Probs_Hombres!AA38)</f>
        <v>93823.179910171049</v>
      </c>
      <c r="AB39">
        <f>+AB38*(1-Probs_Hombres!AB38)</f>
        <v>93823.180745328718</v>
      </c>
      <c r="AC39">
        <f>+AC38*(1-Probs_Hombres!AC38)</f>
        <v>93823.181312347573</v>
      </c>
      <c r="AD39">
        <f>+AD38*(1-Probs_Hombres!AD38)</f>
        <v>93823.181697317254</v>
      </c>
      <c r="AE39">
        <f>+AE38*(1-Probs_Hombres!AE38)</f>
        <v>93823.181958687259</v>
      </c>
      <c r="AF39">
        <f>+AF38*(1-Probs_Hombres!AF38)</f>
        <v>93823.182136140793</v>
      </c>
      <c r="AG39">
        <f>+AG38*(1-Probs_Hombres!AG38)</f>
        <v>93823.182256620494</v>
      </c>
      <c r="AH39">
        <f>+AH38*(1-Probs_Hombres!AH38)</f>
        <v>93823.182338418614</v>
      </c>
    </row>
    <row r="40" spans="1:34" x14ac:dyDescent="0.25">
      <c r="A40">
        <f>+Probs_Hombres!A40</f>
        <v>38</v>
      </c>
      <c r="B40">
        <f>+B39*(1-Probs_Hombres!B39)</f>
        <v>93543.457942971494</v>
      </c>
      <c r="C40">
        <f>+C39*(1-Probs_Hombres!C39)</f>
        <v>93557.419716074844</v>
      </c>
      <c r="D40">
        <f>+D39*(1-Probs_Hombres!D39)</f>
        <v>93566.868856424961</v>
      </c>
      <c r="E40">
        <f>+E39*(1-Probs_Hombres!E39)</f>
        <v>93573.270438950451</v>
      </c>
      <c r="F40">
        <f>+F39*(1-Probs_Hombres!F39)</f>
        <v>93577.61036969909</v>
      </c>
      <c r="G40">
        <f>+G39*(1-Probs_Hombres!G39)</f>
        <v>93580.553990982764</v>
      </c>
      <c r="H40">
        <f>+H39*(1-Probs_Hombres!H39)</f>
        <v>93582.551180293376</v>
      </c>
      <c r="I40">
        <f>+I39*(1-Probs_Hombres!I39)</f>
        <v>93583.906526606064</v>
      </c>
      <c r="J40">
        <f>+J39*(1-Probs_Hombres!J39)</f>
        <v>93584.826435771756</v>
      </c>
      <c r="K40">
        <f>+K39*(1-Probs_Hombres!K39)</f>
        <v>93585.450864386527</v>
      </c>
      <c r="L40">
        <f>+L39*(1-Probs_Hombres!L39)</f>
        <v>93585.87475125237</v>
      </c>
      <c r="M40">
        <f>+M39*(1-Probs_Hombres!M39)</f>
        <v>93586.162515623961</v>
      </c>
      <c r="N40">
        <f>+N39*(1-Probs_Hombres!N39)</f>
        <v>93586.357876499998</v>
      </c>
      <c r="O40">
        <f>+O39*(1-Probs_Hombres!O39)</f>
        <v>93586.49050820015</v>
      </c>
      <c r="P40">
        <f>+P39*(1-Probs_Hombres!P39)</f>
        <v>93586.580553967928</v>
      </c>
      <c r="Q40">
        <f>+Q39*(1-Probs_Hombres!Q39)</f>
        <v>93586.641688064978</v>
      </c>
      <c r="R40">
        <f>+R39*(1-Probs_Hombres!R39)</f>
        <v>93586.683193652701</v>
      </c>
      <c r="S40">
        <f>+S39*(1-Probs_Hombres!S39)</f>
        <v>93586.71137304249</v>
      </c>
      <c r="T40">
        <f>+T39*(1-Probs_Hombres!T39)</f>
        <v>93586.730504934458</v>
      </c>
      <c r="U40">
        <f>+U39*(1-Probs_Hombres!U39)</f>
        <v>93586.743494216789</v>
      </c>
      <c r="V40">
        <f>+V39*(1-Probs_Hombres!V39)</f>
        <v>93586.752313088029</v>
      </c>
      <c r="W40">
        <f>+W39*(1-Probs_Hombres!W39)</f>
        <v>93586.758300529269</v>
      </c>
      <c r="X40">
        <f>+X39*(1-Probs_Hombres!X39)</f>
        <v>93586.76236561581</v>
      </c>
      <c r="Y40">
        <f>+Y39*(1-Probs_Hombres!Y39)</f>
        <v>93586.765125548802</v>
      </c>
      <c r="Z40">
        <f>+Z39*(1-Probs_Hombres!Z39)</f>
        <v>93586.766999366722</v>
      </c>
      <c r="AA40">
        <f>+AA39*(1-Probs_Hombres!AA39)</f>
        <v>93586.768271569439</v>
      </c>
      <c r="AB40">
        <f>+AB39*(1-Probs_Hombres!AB39)</f>
        <v>93586.769135314113</v>
      </c>
      <c r="AC40">
        <f>+AC39*(1-Probs_Hombres!AC39)</f>
        <v>93586.76972174173</v>
      </c>
      <c r="AD40">
        <f>+AD39*(1-Probs_Hombres!AD39)</f>
        <v>93586.770119888708</v>
      </c>
      <c r="AE40">
        <f>+AE39*(1-Probs_Hombres!AE39)</f>
        <v>93586.770390205274</v>
      </c>
      <c r="AF40">
        <f>+AF39*(1-Probs_Hombres!AF39)</f>
        <v>93586.770573732952</v>
      </c>
      <c r="AG40">
        <f>+AG39*(1-Probs_Hombres!AG39)</f>
        <v>93586.770698336608</v>
      </c>
      <c r="AH40">
        <f>+AH39*(1-Probs_Hombres!AH39)</f>
        <v>93586.770782934633</v>
      </c>
    </row>
    <row r="41" spans="1:34" x14ac:dyDescent="0.25">
      <c r="A41">
        <f>+Probs_Hombres!A41</f>
        <v>39</v>
      </c>
      <c r="B41">
        <f>+B40*(1-Probs_Hombres!B40)</f>
        <v>93302.832488942702</v>
      </c>
      <c r="C41">
        <f>+C40*(1-Probs_Hombres!C40)</f>
        <v>93317.314499273707</v>
      </c>
      <c r="D41">
        <f>+D40*(1-Probs_Hombres!D40)</f>
        <v>93327.116287342345</v>
      </c>
      <c r="E41">
        <f>+E40*(1-Probs_Hombres!E40)</f>
        <v>93333.757037123491</v>
      </c>
      <c r="F41">
        <f>+F40*(1-Probs_Hombres!F40)</f>
        <v>93338.259228295385</v>
      </c>
      <c r="G41">
        <f>+G40*(1-Probs_Hombres!G40)</f>
        <v>93341.312959281189</v>
      </c>
      <c r="H41">
        <f>+H40*(1-Probs_Hombres!H40)</f>
        <v>93343.384880820275</v>
      </c>
      <c r="I41">
        <f>+I40*(1-Probs_Hombres!I40)</f>
        <v>93344.790953924006</v>
      </c>
      <c r="J41">
        <f>+J40*(1-Probs_Hombres!J40)</f>
        <v>93345.745297990958</v>
      </c>
      <c r="K41">
        <f>+K40*(1-Probs_Hombres!K40)</f>
        <v>93346.39310324211</v>
      </c>
      <c r="L41">
        <f>+L40*(1-Probs_Hombres!L40)</f>
        <v>93346.832860218565</v>
      </c>
      <c r="M41">
        <f>+M40*(1-Probs_Hombres!M40)</f>
        <v>93347.131398861355</v>
      </c>
      <c r="N41">
        <f>+N40*(1-Probs_Hombres!N40)</f>
        <v>93347.334074540719</v>
      </c>
      <c r="O41">
        <f>+O40*(1-Probs_Hombres!O40)</f>
        <v>93347.471672415908</v>
      </c>
      <c r="P41">
        <f>+P40*(1-Probs_Hombres!P40)</f>
        <v>93347.565089849551</v>
      </c>
      <c r="Q41">
        <f>+Q40*(1-Probs_Hombres!Q40)</f>
        <v>93347.628513069765</v>
      </c>
      <c r="R41">
        <f>+R40*(1-Probs_Hombres!R40)</f>
        <v>93347.671572815743</v>
      </c>
      <c r="S41">
        <f>+S40*(1-Probs_Hombres!S40)</f>
        <v>93347.700807375208</v>
      </c>
      <c r="T41">
        <f>+T40*(1-Probs_Hombres!T40)</f>
        <v>93347.72065565802</v>
      </c>
      <c r="U41">
        <f>+U40*(1-Probs_Hombres!U40)</f>
        <v>93347.734131323145</v>
      </c>
      <c r="V41">
        <f>+V40*(1-Probs_Hombres!V40)</f>
        <v>93347.743280416908</v>
      </c>
      <c r="W41">
        <f>+W40*(1-Probs_Hombres!W40)</f>
        <v>93347.749492058021</v>
      </c>
      <c r="X41">
        <f>+X40*(1-Probs_Hombres!X40)</f>
        <v>93347.753709361947</v>
      </c>
      <c r="Y41">
        <f>+Y40*(1-Probs_Hombres!Y40)</f>
        <v>93347.756572640821</v>
      </c>
      <c r="Z41">
        <f>+Z40*(1-Probs_Hombres!Z40)</f>
        <v>93347.758516623988</v>
      </c>
      <c r="AA41">
        <f>+AA40*(1-Probs_Hombres!AA40)</f>
        <v>93347.759836464451</v>
      </c>
      <c r="AB41">
        <f>+AB40*(1-Probs_Hombres!AB40)</f>
        <v>93347.760732552124</v>
      </c>
      <c r="AC41">
        <f>+AC40*(1-Probs_Hombres!AC40)</f>
        <v>93347.761340938581</v>
      </c>
      <c r="AD41">
        <f>+AD40*(1-Probs_Hombres!AD40)</f>
        <v>93347.761753994215</v>
      </c>
      <c r="AE41">
        <f>+AE40*(1-Probs_Hombres!AE40)</f>
        <v>93347.762034432802</v>
      </c>
      <c r="AF41">
        <f>+AF40*(1-Probs_Hombres!AF40)</f>
        <v>93347.762224832695</v>
      </c>
      <c r="AG41">
        <f>+AG40*(1-Probs_Hombres!AG40)</f>
        <v>93347.76235410216</v>
      </c>
      <c r="AH41">
        <f>+AH40*(1-Probs_Hombres!AH40)</f>
        <v>93347.762441867948</v>
      </c>
    </row>
    <row r="42" spans="1:34" x14ac:dyDescent="0.25">
      <c r="A42">
        <f>+Probs_Hombres!A42</f>
        <v>40</v>
      </c>
      <c r="B42">
        <f>+B41*(1-Probs_Hombres!B41)</f>
        <v>93060.13998929919</v>
      </c>
      <c r="C42">
        <f>+C41*(1-Probs_Hombres!C41)</f>
        <v>93075.197703884973</v>
      </c>
      <c r="D42">
        <f>+D41*(1-Probs_Hombres!D41)</f>
        <v>93085.389663677153</v>
      </c>
      <c r="E42">
        <f>+E41*(1-Probs_Hombres!E41)</f>
        <v>93092.294995218312</v>
      </c>
      <c r="F42">
        <f>+F41*(1-Probs_Hombres!F41)</f>
        <v>93096.976673148281</v>
      </c>
      <c r="G42">
        <f>+G41*(1-Probs_Hombres!G41)</f>
        <v>93100.15219629863</v>
      </c>
      <c r="H42">
        <f>+H41*(1-Probs_Hombres!H41)</f>
        <v>93102.306775669989</v>
      </c>
      <c r="I42">
        <f>+I41*(1-Probs_Hombres!I41)</f>
        <v>93103.768953760489</v>
      </c>
      <c r="J42">
        <f>+J41*(1-Probs_Hombres!J41)</f>
        <v>93104.761382898199</v>
      </c>
      <c r="K42">
        <f>+K41*(1-Probs_Hombres!K41)</f>
        <v>93105.435042427271</v>
      </c>
      <c r="L42">
        <f>+L41*(1-Probs_Hombres!L41)</f>
        <v>93105.892351402872</v>
      </c>
      <c r="M42">
        <f>+M41*(1-Probs_Hombres!M41)</f>
        <v>93106.202806086629</v>
      </c>
      <c r="N42">
        <f>+N41*(1-Probs_Hombres!N41)</f>
        <v>93106.413571700556</v>
      </c>
      <c r="O42">
        <f>+O41*(1-Probs_Hombres!O41)</f>
        <v>93106.556661988914</v>
      </c>
      <c r="P42">
        <f>+P41*(1-Probs_Hombres!P41)</f>
        <v>93106.653808358387</v>
      </c>
      <c r="Q42">
        <f>+Q41*(1-Probs_Hombres!Q41)</f>
        <v>93106.719763259694</v>
      </c>
      <c r="R42">
        <f>+R41*(1-Probs_Hombres!R41)</f>
        <v>93106.764541842727</v>
      </c>
      <c r="S42">
        <f>+S41*(1-Probs_Hombres!S41)</f>
        <v>93106.794943377114</v>
      </c>
      <c r="T42">
        <f>+T41*(1-Probs_Hombres!T41)</f>
        <v>93106.815583958858</v>
      </c>
      <c r="U42">
        <f>+U41*(1-Probs_Hombres!U41)</f>
        <v>93106.829597543299</v>
      </c>
      <c r="V42">
        <f>+V41*(1-Probs_Hombres!V41)</f>
        <v>93106.839111849491</v>
      </c>
      <c r="W42">
        <f>+W41*(1-Probs_Hombres!W41)</f>
        <v>93106.845571446363</v>
      </c>
      <c r="X42">
        <f>+X41*(1-Probs_Hombres!X41)</f>
        <v>93106.849957096361</v>
      </c>
      <c r="Y42">
        <f>+Y41*(1-Probs_Hombres!Y41)</f>
        <v>93106.852934671449</v>
      </c>
      <c r="Z42">
        <f>+Z41*(1-Probs_Hombres!Z41)</f>
        <v>93106.854956254479</v>
      </c>
      <c r="AA42">
        <f>+AA41*(1-Probs_Hombres!AA41)</f>
        <v>93106.856328780283</v>
      </c>
      <c r="AB42">
        <f>+AB41*(1-Probs_Hombres!AB41)</f>
        <v>93106.85726063796</v>
      </c>
      <c r="AC42">
        <f>+AC41*(1-Probs_Hombres!AC41)</f>
        <v>93106.857893309978</v>
      </c>
      <c r="AD42">
        <f>+AD41*(1-Probs_Hombres!AD41)</f>
        <v>93106.858322853965</v>
      </c>
      <c r="AE42">
        <f>+AE41*(1-Probs_Hombres!AE41)</f>
        <v>93106.858614487093</v>
      </c>
      <c r="AF42">
        <f>+AF41*(1-Probs_Hombres!AF41)</f>
        <v>93106.858812487364</v>
      </c>
      <c r="AG42">
        <f>+AG41*(1-Probs_Hombres!AG41)</f>
        <v>93106.858946917011</v>
      </c>
      <c r="AH42">
        <f>+AH41*(1-Probs_Hombres!AH41)</f>
        <v>93106.859038186216</v>
      </c>
    </row>
    <row r="43" spans="1:34" x14ac:dyDescent="0.25">
      <c r="A43">
        <f>+Probs_Hombres!A43</f>
        <v>41</v>
      </c>
      <c r="B43">
        <f>+B42*(1-Probs_Hombres!B42)</f>
        <v>92811.135938901571</v>
      </c>
      <c r="C43">
        <f>+C42*(1-Probs_Hombres!C42)</f>
        <v>92826.812528923474</v>
      </c>
      <c r="D43">
        <f>+D42*(1-Probs_Hombres!D42)</f>
        <v>92837.423877247769</v>
      </c>
      <c r="E43">
        <f>+E42*(1-Probs_Hombres!E42)</f>
        <v>92844.613583805723</v>
      </c>
      <c r="F43">
        <f>+F42*(1-Probs_Hombres!F42)</f>
        <v>92849.488167016287</v>
      </c>
      <c r="G43">
        <f>+G42*(1-Probs_Hombres!G42)</f>
        <v>92852.794583517563</v>
      </c>
      <c r="H43">
        <f>+H42*(1-Probs_Hombres!H42)</f>
        <v>92855.037995638908</v>
      </c>
      <c r="I43">
        <f>+I42*(1-Probs_Hombres!I42)</f>
        <v>92856.560469153352</v>
      </c>
      <c r="J43">
        <f>+J42*(1-Probs_Hombres!J42)</f>
        <v>92857.593827508565</v>
      </c>
      <c r="K43">
        <f>+K42*(1-Probs_Hombres!K42)</f>
        <v>92858.295271898562</v>
      </c>
      <c r="L43">
        <f>+L42*(1-Probs_Hombres!L42)</f>
        <v>92858.771443426638</v>
      </c>
      <c r="M43">
        <f>+M42*(1-Probs_Hombres!M42)</f>
        <v>92859.09470384632</v>
      </c>
      <c r="N43">
        <f>+N42*(1-Probs_Hombres!N42)</f>
        <v>92859.314163400792</v>
      </c>
      <c r="O43">
        <f>+O42*(1-Probs_Hombres!O42)</f>
        <v>92859.463156165439</v>
      </c>
      <c r="P43">
        <f>+P42*(1-Probs_Hombres!P42)</f>
        <v>92859.564309868947</v>
      </c>
      <c r="Q43">
        <f>+Q42*(1-Probs_Hombres!Q42)</f>
        <v>92859.632985462114</v>
      </c>
      <c r="R43">
        <f>+R42*(1-Probs_Hombres!R42)</f>
        <v>92859.679611206695</v>
      </c>
      <c r="S43">
        <f>+S42*(1-Probs_Hombres!S42)</f>
        <v>92859.711266839309</v>
      </c>
      <c r="T43">
        <f>+T42*(1-Probs_Hombres!T42)</f>
        <v>92859.732758870814</v>
      </c>
      <c r="U43">
        <f>+U42*(1-Probs_Hombres!U42)</f>
        <v>92859.747350534031</v>
      </c>
      <c r="V43">
        <f>+V42*(1-Probs_Hombres!V42)</f>
        <v>92859.757257318299</v>
      </c>
      <c r="W43">
        <f>+W42*(1-Probs_Hombres!W42)</f>
        <v>92859.763983382538</v>
      </c>
      <c r="X43">
        <f>+X42*(1-Probs_Hombres!X42)</f>
        <v>92859.768549946777</v>
      </c>
      <c r="Y43">
        <f>+Y42*(1-Probs_Hombres!Y42)</f>
        <v>92859.771650351089</v>
      </c>
      <c r="Z43">
        <f>+Z42*(1-Probs_Hombres!Z42)</f>
        <v>92859.773755327333</v>
      </c>
      <c r="AA43">
        <f>+AA42*(1-Probs_Hombres!AA42)</f>
        <v>92859.7751844718</v>
      </c>
      <c r="AB43">
        <f>+AB42*(1-Probs_Hombres!AB42)</f>
        <v>92859.776154769963</v>
      </c>
      <c r="AC43">
        <f>+AC42*(1-Probs_Hombres!AC42)</f>
        <v>92859.776813540608</v>
      </c>
      <c r="AD43">
        <f>+AD42*(1-Probs_Hombres!AD42)</f>
        <v>92859.777260803909</v>
      </c>
      <c r="AE43">
        <f>+AE42*(1-Probs_Hombres!AE42)</f>
        <v>92859.777564467338</v>
      </c>
      <c r="AF43">
        <f>+AF42*(1-Probs_Hombres!AF42)</f>
        <v>92859.77777063541</v>
      </c>
      <c r="AG43">
        <f>+AG42*(1-Probs_Hombres!AG42)</f>
        <v>92859.777910610457</v>
      </c>
      <c r="AH43">
        <f>+AH42*(1-Probs_Hombres!AH42)</f>
        <v>92859.778005644665</v>
      </c>
    </row>
    <row r="44" spans="1:34" x14ac:dyDescent="0.25">
      <c r="A44">
        <f>+Probs_Hombres!A44</f>
        <v>42</v>
      </c>
      <c r="B44">
        <f>+B43*(1-Probs_Hombres!B43)</f>
        <v>92550.114323186775</v>
      </c>
      <c r="C44">
        <f>+C43*(1-Probs_Hombres!C43)</f>
        <v>92566.382178026033</v>
      </c>
      <c r="D44">
        <f>+D43*(1-Probs_Hombres!D43)</f>
        <v>92577.394289326534</v>
      </c>
      <c r="E44">
        <f>+E43*(1-Probs_Hombres!E43)</f>
        <v>92584.855780630882</v>
      </c>
      <c r="F44">
        <f>+F43*(1-Probs_Hombres!F43)</f>
        <v>92589.914746570372</v>
      </c>
      <c r="G44">
        <f>+G43*(1-Probs_Hombres!G43)</f>
        <v>92593.346281864055</v>
      </c>
      <c r="H44">
        <f>+H43*(1-Probs_Hombres!H43)</f>
        <v>92595.674611571289</v>
      </c>
      <c r="I44">
        <f>+I43*(1-Probs_Hombres!I43)</f>
        <v>92597.254724847022</v>
      </c>
      <c r="J44">
        <f>+J43*(1-Probs_Hombres!J43)</f>
        <v>92598.327210538555</v>
      </c>
      <c r="K44">
        <f>+K43*(1-Probs_Hombres!K43)</f>
        <v>92599.055216954293</v>
      </c>
      <c r="L44">
        <f>+L43*(1-Probs_Hombres!L43)</f>
        <v>92599.549421050629</v>
      </c>
      <c r="M44">
        <f>+M43*(1-Probs_Hombres!M43)</f>
        <v>92599.884923811769</v>
      </c>
      <c r="N44">
        <f>+N43*(1-Probs_Hombres!N43)</f>
        <v>92600.112694849406</v>
      </c>
      <c r="O44">
        <f>+O43*(1-Probs_Hombres!O43)</f>
        <v>92600.267330449889</v>
      </c>
      <c r="P44">
        <f>+P43*(1-Probs_Hombres!P43)</f>
        <v>92600.372315219036</v>
      </c>
      <c r="Q44">
        <f>+Q43*(1-Probs_Hombres!Q43)</f>
        <v>92600.443591834075</v>
      </c>
      <c r="R44">
        <f>+R43*(1-Probs_Hombres!R43)</f>
        <v>92600.491983494212</v>
      </c>
      <c r="S44">
        <f>+S43*(1-Probs_Hombres!S43)</f>
        <v>92600.524838065277</v>
      </c>
      <c r="T44">
        <f>+T43*(1-Probs_Hombres!T43)</f>
        <v>92600.547144097043</v>
      </c>
      <c r="U44">
        <f>+U43*(1-Probs_Hombres!U43)</f>
        <v>92600.56228841345</v>
      </c>
      <c r="V44">
        <f>+V43*(1-Probs_Hombres!V43)</f>
        <v>92600.572570413526</v>
      </c>
      <c r="W44">
        <f>+W43*(1-Probs_Hombres!W43)</f>
        <v>92600.579551225193</v>
      </c>
      <c r="X44">
        <f>+X43*(1-Probs_Hombres!X43)</f>
        <v>92600.584290746629</v>
      </c>
      <c r="Y44">
        <f>+Y43*(1-Probs_Hombres!Y43)</f>
        <v>92600.58750857781</v>
      </c>
      <c r="Z44">
        <f>+Z43*(1-Probs_Hombres!Z43)</f>
        <v>92600.589693279428</v>
      </c>
      <c r="AA44">
        <f>+AA43*(1-Probs_Hombres!AA43)</f>
        <v>92600.591176552349</v>
      </c>
      <c r="AB44">
        <f>+AB43*(1-Probs_Hombres!AB43)</f>
        <v>92600.592183600282</v>
      </c>
      <c r="AC44">
        <f>+AC43*(1-Probs_Hombres!AC43)</f>
        <v>92600.592867321684</v>
      </c>
      <c r="AD44">
        <f>+AD43*(1-Probs_Hombres!AD43)</f>
        <v>92600.593331524957</v>
      </c>
      <c r="AE44">
        <f>+AE43*(1-Probs_Hombres!AE43)</f>
        <v>92600.593646689566</v>
      </c>
      <c r="AF44">
        <f>+AF43*(1-Probs_Hombres!AF43)</f>
        <v>92600.593860666195</v>
      </c>
      <c r="AG44">
        <f>+AG43*(1-Probs_Hombres!AG43)</f>
        <v>92600.594005942767</v>
      </c>
      <c r="AH44">
        <f>+AH43*(1-Probs_Hombres!AH43)</f>
        <v>92600.594104576361</v>
      </c>
    </row>
    <row r="45" spans="1:34" x14ac:dyDescent="0.25">
      <c r="A45">
        <f>+Probs_Hombres!A45</f>
        <v>43</v>
      </c>
      <c r="B45">
        <f>+B44*(1-Probs_Hombres!B44)</f>
        <v>92273.41063830955</v>
      </c>
      <c r="C45">
        <f>+C44*(1-Probs_Hombres!C44)</f>
        <v>92290.216261543887</v>
      </c>
      <c r="D45">
        <f>+D44*(1-Probs_Hombres!D44)</f>
        <v>92301.592991034238</v>
      </c>
      <c r="E45">
        <f>+E44*(1-Probs_Hombres!E44)</f>
        <v>92309.301807961398</v>
      </c>
      <c r="F45">
        <f>+F44*(1-Probs_Hombres!F44)</f>
        <v>92314.528587667577</v>
      </c>
      <c r="G45">
        <f>+G44*(1-Probs_Hombres!G44)</f>
        <v>92318.074009623597</v>
      </c>
      <c r="H45">
        <f>+H44*(1-Probs_Hombres!H44)</f>
        <v>92320.479638910299</v>
      </c>
      <c r="I45">
        <f>+I44*(1-Probs_Hombres!I44)</f>
        <v>92322.112223443051</v>
      </c>
      <c r="J45">
        <f>+J44*(1-Probs_Hombres!J44)</f>
        <v>92323.220329061311</v>
      </c>
      <c r="K45">
        <f>+K44*(1-Probs_Hombres!K44)</f>
        <v>92323.972516967115</v>
      </c>
      <c r="L45">
        <f>+L44*(1-Probs_Hombres!L44)</f>
        <v>92324.483137755291</v>
      </c>
      <c r="M45">
        <f>+M44*(1-Probs_Hombres!M44)</f>
        <v>92324.829785944574</v>
      </c>
      <c r="N45">
        <f>+N44*(1-Probs_Hombres!N44)</f>
        <v>92325.065123806562</v>
      </c>
      <c r="O45">
        <f>+O44*(1-Probs_Hombres!O44)</f>
        <v>92325.224896701751</v>
      </c>
      <c r="P45">
        <f>+P44*(1-Probs_Hombres!P44)</f>
        <v>92325.333369322281</v>
      </c>
      <c r="Q45">
        <f>+Q44*(1-Probs_Hombres!Q44)</f>
        <v>92325.407013945936</v>
      </c>
      <c r="R45">
        <f>+R44*(1-Probs_Hombres!R44)</f>
        <v>92325.457013323845</v>
      </c>
      <c r="S45">
        <f>+S44*(1-Probs_Hombres!S44)</f>
        <v>92325.490959428687</v>
      </c>
      <c r="T45">
        <f>+T44*(1-Probs_Hombres!T44)</f>
        <v>92325.514006540514</v>
      </c>
      <c r="U45">
        <f>+U44*(1-Probs_Hombres!U44)</f>
        <v>92325.529654002239</v>
      </c>
      <c r="V45">
        <f>+V44*(1-Probs_Hombres!V44)</f>
        <v>92325.540277605585</v>
      </c>
      <c r="W45">
        <f>+W44*(1-Probs_Hombres!W44)</f>
        <v>92325.547490343961</v>
      </c>
      <c r="X45">
        <f>+X44*(1-Probs_Hombres!X44)</f>
        <v>92325.552387328818</v>
      </c>
      <c r="Y45">
        <f>+Y44*(1-Probs_Hombres!Y44)</f>
        <v>92325.555712067609</v>
      </c>
      <c r="Z45">
        <f>+Z44*(1-Probs_Hombres!Z44)</f>
        <v>92325.557969352682</v>
      </c>
      <c r="AA45">
        <f>+AA44*(1-Probs_Hombres!AA44)</f>
        <v>92325.559501905154</v>
      </c>
      <c r="AB45">
        <f>+AB44*(1-Probs_Hombres!AB44)</f>
        <v>92325.560542410763</v>
      </c>
      <c r="AC45">
        <f>+AC44*(1-Probs_Hombres!AC44)</f>
        <v>92325.561248847807</v>
      </c>
      <c r="AD45">
        <f>+AD44*(1-Probs_Hombres!AD44)</f>
        <v>92325.561728473549</v>
      </c>
      <c r="AE45">
        <f>+AE44*(1-Probs_Hombres!AE44)</f>
        <v>92325.562054109032</v>
      </c>
      <c r="AF45">
        <f>+AF44*(1-Probs_Hombres!AF44)</f>
        <v>92325.562275194723</v>
      </c>
      <c r="AG45">
        <f>+AG44*(1-Probs_Hombres!AG44)</f>
        <v>92325.562425297889</v>
      </c>
      <c r="AH45">
        <f>+AH44*(1-Probs_Hombres!AH44)</f>
        <v>92325.562527208443</v>
      </c>
    </row>
    <row r="46" spans="1:34" x14ac:dyDescent="0.25">
      <c r="A46">
        <f>+Probs_Hombres!A46</f>
        <v>44</v>
      </c>
      <c r="B46">
        <f>+B45*(1-Probs_Hombres!B45)</f>
        <v>91985.173332713908</v>
      </c>
      <c r="C46">
        <f>+C45*(1-Probs_Hombres!C45)</f>
        <v>92002.502704553612</v>
      </c>
      <c r="D46">
        <f>+D45*(1-Probs_Hombres!D45)</f>
        <v>92014.234593433677</v>
      </c>
      <c r="E46">
        <f>+E45*(1-Probs_Hombres!E45)</f>
        <v>92022.184341535452</v>
      </c>
      <c r="F46">
        <f>+F45*(1-Probs_Hombres!F45)</f>
        <v>92027.574606229406</v>
      </c>
      <c r="G46">
        <f>+G45*(1-Probs_Hombres!G45)</f>
        <v>92031.230981704502</v>
      </c>
      <c r="H46">
        <f>+H45*(1-Probs_Hombres!H45)</f>
        <v>92033.711921834722</v>
      </c>
      <c r="I46">
        <f>+I45*(1-Probs_Hombres!I45)</f>
        <v>92035.395628634782</v>
      </c>
      <c r="J46">
        <f>+J45*(1-Probs_Hombres!J45)</f>
        <v>92036.538438870863</v>
      </c>
      <c r="K46">
        <f>+K45*(1-Probs_Hombres!K45)</f>
        <v>92037.314187092517</v>
      </c>
      <c r="L46">
        <f>+L45*(1-Probs_Hombres!L45)</f>
        <v>92037.840802955674</v>
      </c>
      <c r="M46">
        <f>+M45*(1-Probs_Hombres!M45)</f>
        <v>92038.198310377775</v>
      </c>
      <c r="N46">
        <f>+N45*(1-Probs_Hombres!N45)</f>
        <v>92038.441020781363</v>
      </c>
      <c r="O46">
        <f>+O45*(1-Probs_Hombres!O45)</f>
        <v>92038.605799077442</v>
      </c>
      <c r="P46">
        <f>+P45*(1-Probs_Hombres!P45)</f>
        <v>92038.717670007318</v>
      </c>
      <c r="Q46">
        <f>+Q45*(1-Probs_Hombres!Q45)</f>
        <v>92038.79362184873</v>
      </c>
      <c r="R46">
        <f>+R45*(1-Probs_Hombres!R45)</f>
        <v>92038.845187672443</v>
      </c>
      <c r="S46">
        <f>+S45*(1-Probs_Hombres!S45)</f>
        <v>92038.880197290564</v>
      </c>
      <c r="T46">
        <f>+T45*(1-Probs_Hombres!T45)</f>
        <v>92038.903966458543</v>
      </c>
      <c r="U46">
        <f>+U45*(1-Probs_Hombres!U45)</f>
        <v>92038.920104149671</v>
      </c>
      <c r="V46">
        <f>+V45*(1-Probs_Hombres!V45)</f>
        <v>92038.931060587274</v>
      </c>
      <c r="W46">
        <f>+W45*(1-Probs_Hombres!W45)</f>
        <v>92038.938499298776</v>
      </c>
      <c r="X46">
        <f>+X45*(1-Probs_Hombres!X45)</f>
        <v>92038.943549704942</v>
      </c>
      <c r="Y46">
        <f>+Y45*(1-Probs_Hombres!Y45)</f>
        <v>92038.946978607026</v>
      </c>
      <c r="Z46">
        <f>+Z45*(1-Probs_Hombres!Z45)</f>
        <v>92038.94930661234</v>
      </c>
      <c r="AA46">
        <f>+AA45*(1-Probs_Hombres!AA45)</f>
        <v>92038.950887179351</v>
      </c>
      <c r="AB46">
        <f>+AB45*(1-Probs_Hombres!AB45)</f>
        <v>92038.951960283783</v>
      </c>
      <c r="AC46">
        <f>+AC45*(1-Probs_Hombres!AC45)</f>
        <v>92038.952688853358</v>
      </c>
      <c r="AD46">
        <f>+AD45*(1-Probs_Hombres!AD45)</f>
        <v>92038.95318350567</v>
      </c>
      <c r="AE46">
        <f>+AE45*(1-Probs_Hombres!AE45)</f>
        <v>92038.953519343253</v>
      </c>
      <c r="AF46">
        <f>+AF45*(1-Probs_Hombres!AF45)</f>
        <v>92038.95374735551</v>
      </c>
      <c r="AG46">
        <f>+AG45*(1-Probs_Hombres!AG45)</f>
        <v>92038.953902161375</v>
      </c>
      <c r="AH46">
        <f>+AH45*(1-Probs_Hombres!AH45)</f>
        <v>92038.954007264765</v>
      </c>
    </row>
    <row r="47" spans="1:34" x14ac:dyDescent="0.25">
      <c r="A47">
        <f>+Probs_Hombres!A47</f>
        <v>45</v>
      </c>
      <c r="B47">
        <f>+B46*(1-Probs_Hombres!B46)</f>
        <v>91684.682300022832</v>
      </c>
      <c r="C47">
        <f>+C46*(1-Probs_Hombres!C46)</f>
        <v>91702.572517487846</v>
      </c>
      <c r="D47">
        <f>+D46*(1-Probs_Hombres!D46)</f>
        <v>91714.684704982734</v>
      </c>
      <c r="E47">
        <f>+E46*(1-Probs_Hombres!E46)</f>
        <v>91722.892430409702</v>
      </c>
      <c r="F47">
        <f>+F46*(1-Probs_Hombres!F46)</f>
        <v>91728.457743306863</v>
      </c>
      <c r="G47">
        <f>+G46*(1-Probs_Hombres!G46)</f>
        <v>91732.232918364083</v>
      </c>
      <c r="H47">
        <f>+H46*(1-Probs_Hombres!H46)</f>
        <v>91734.794494184447</v>
      </c>
      <c r="I47">
        <f>+I46*(1-Probs_Hombres!I46)</f>
        <v>91736.532937501892</v>
      </c>
      <c r="J47">
        <f>+J46*(1-Probs_Hombres!J46)</f>
        <v>91737.712905749111</v>
      </c>
      <c r="K47">
        <f>+K46*(1-Probs_Hombres!K46)</f>
        <v>91738.513879776103</v>
      </c>
      <c r="L47">
        <f>+L46*(1-Probs_Hombres!L46)</f>
        <v>91739.057621379558</v>
      </c>
      <c r="M47">
        <f>+M46*(1-Probs_Hombres!M46)</f>
        <v>91739.426755640045</v>
      </c>
      <c r="N47">
        <f>+N46*(1-Probs_Hombres!N46)</f>
        <v>91739.677359720226</v>
      </c>
      <c r="O47">
        <f>+O46*(1-Probs_Hombres!O46)</f>
        <v>91739.847497225303</v>
      </c>
      <c r="P47">
        <f>+P46*(1-Probs_Hombres!P46)</f>
        <v>91739.963006673395</v>
      </c>
      <c r="Q47">
        <f>+Q46*(1-Probs_Hombres!Q46)</f>
        <v>91740.041428817145</v>
      </c>
      <c r="R47">
        <f>+R46*(1-Probs_Hombres!R46)</f>
        <v>91740.094671809813</v>
      </c>
      <c r="S47">
        <f>+S46*(1-Probs_Hombres!S46)</f>
        <v>91740.130820114762</v>
      </c>
      <c r="T47">
        <f>+T46*(1-Probs_Hombres!T46)</f>
        <v>91740.155362376754</v>
      </c>
      <c r="U47">
        <f>+U46*(1-Probs_Hombres!U46)</f>
        <v>91740.172024948668</v>
      </c>
      <c r="V47">
        <f>+V46*(1-Probs_Hombres!V46)</f>
        <v>91740.183337746566</v>
      </c>
      <c r="W47">
        <f>+W46*(1-Probs_Hombres!W46)</f>
        <v>91740.191018403872</v>
      </c>
      <c r="X47">
        <f>+X46*(1-Probs_Hombres!X46)</f>
        <v>91740.196233075767</v>
      </c>
      <c r="Y47">
        <f>+Y46*(1-Probs_Hombres!Y46)</f>
        <v>91740.199773503817</v>
      </c>
      <c r="Z47">
        <f>+Z46*(1-Probs_Hombres!Z46)</f>
        <v>91740.202177228159</v>
      </c>
      <c r="AA47">
        <f>+AA46*(1-Probs_Hombres!AA46)</f>
        <v>91740.203809203551</v>
      </c>
      <c r="AB47">
        <f>+AB46*(1-Probs_Hombres!AB46)</f>
        <v>91740.204917211013</v>
      </c>
      <c r="AC47">
        <f>+AC46*(1-Probs_Hombres!AC46)</f>
        <v>91740.205669477538</v>
      </c>
      <c r="AD47">
        <f>+AD46*(1-Probs_Hombres!AD46)</f>
        <v>91740.206180218564</v>
      </c>
      <c r="AE47">
        <f>+AE46*(1-Probs_Hombres!AE46)</f>
        <v>91740.206526979353</v>
      </c>
      <c r="AF47">
        <f>+AF46*(1-Probs_Hombres!AF46)</f>
        <v>91740.206762407775</v>
      </c>
      <c r="AG47">
        <f>+AG46*(1-Probs_Hombres!AG46)</f>
        <v>91740.206922248748</v>
      </c>
      <c r="AH47">
        <f>+AH46*(1-Probs_Hombres!AH46)</f>
        <v>91740.20703077066</v>
      </c>
    </row>
    <row r="48" spans="1:34" x14ac:dyDescent="0.25">
      <c r="A48">
        <f>+Probs_Hombres!A48</f>
        <v>46</v>
      </c>
      <c r="B48">
        <f>+B47*(1-Probs_Hombres!B47)</f>
        <v>91367.947278995693</v>
      </c>
      <c r="C48">
        <f>+C47*(1-Probs_Hombres!C47)</f>
        <v>91386.423904204057</v>
      </c>
      <c r="D48">
        <f>+D47*(1-Probs_Hombres!D47)</f>
        <v>91398.933732062957</v>
      </c>
      <c r="E48">
        <f>+E47*(1-Probs_Hombres!E47)</f>
        <v>91407.411202611765</v>
      </c>
      <c r="F48">
        <f>+F47*(1-Probs_Hombres!F47)</f>
        <v>91413.159550458804</v>
      </c>
      <c r="G48">
        <f>+G47*(1-Probs_Hombres!G47)</f>
        <v>91417.058946281235</v>
      </c>
      <c r="H48">
        <f>+H47*(1-Probs_Hombres!H47)</f>
        <v>91419.704837826052</v>
      </c>
      <c r="I48">
        <f>+I47*(1-Probs_Hombres!I47)</f>
        <v>91421.500515891501</v>
      </c>
      <c r="J48">
        <f>+J47*(1-Probs_Hombres!J47)</f>
        <v>91422.719338161172</v>
      </c>
      <c r="K48">
        <f>+K47*(1-Probs_Hombres!K47)</f>
        <v>91423.546689418145</v>
      </c>
      <c r="L48">
        <f>+L47*(1-Probs_Hombres!L47)</f>
        <v>91424.108338478734</v>
      </c>
      <c r="M48">
        <f>+M47*(1-Probs_Hombres!M47)</f>
        <v>91424.489630301076</v>
      </c>
      <c r="N48">
        <f>+N47*(1-Probs_Hombres!N47)</f>
        <v>91424.748488379555</v>
      </c>
      <c r="O48">
        <f>+O47*(1-Probs_Hombres!O47)</f>
        <v>91424.924229726501</v>
      </c>
      <c r="P48">
        <f>+P47*(1-Probs_Hombres!P47)</f>
        <v>91425.043543781765</v>
      </c>
      <c r="Q48">
        <f>+Q47*(1-Probs_Hombres!Q47)</f>
        <v>91425.124548991123</v>
      </c>
      <c r="R48">
        <f>+R47*(1-Probs_Hombres!R47)</f>
        <v>91425.179545711566</v>
      </c>
      <c r="S48">
        <f>+S47*(1-Probs_Hombres!S47)</f>
        <v>91425.216884681809</v>
      </c>
      <c r="T48">
        <f>+T47*(1-Probs_Hombres!T47)</f>
        <v>91425.242235327823</v>
      </c>
      <c r="U48">
        <f>+U47*(1-Probs_Hombres!U47)</f>
        <v>91425.259446740194</v>
      </c>
      <c r="V48">
        <f>+V47*(1-Probs_Hombres!V47)</f>
        <v>91425.27113216545</v>
      </c>
      <c r="W48">
        <f>+W47*(1-Probs_Hombres!W47)</f>
        <v>91425.279065812865</v>
      </c>
      <c r="X48">
        <f>+X47*(1-Probs_Hombres!X47)</f>
        <v>91425.284452248874</v>
      </c>
      <c r="Y48">
        <f>+Y47*(1-Probs_Hombres!Y47)</f>
        <v>91425.288109293804</v>
      </c>
      <c r="Z48">
        <f>+Z47*(1-Probs_Hombres!Z47)</f>
        <v>91425.290592193574</v>
      </c>
      <c r="AA48">
        <f>+AA47*(1-Probs_Hombres!AA47)</f>
        <v>91425.292277924047</v>
      </c>
      <c r="AB48">
        <f>+AB47*(1-Probs_Hombres!AB47)</f>
        <v>91425.293422427785</v>
      </c>
      <c r="AC48">
        <f>+AC47*(1-Probs_Hombres!AC47)</f>
        <v>91425.294199472963</v>
      </c>
      <c r="AD48">
        <f>+AD47*(1-Probs_Hombres!AD47)</f>
        <v>91425.294727037122</v>
      </c>
      <c r="AE48">
        <f>+AE47*(1-Probs_Hombres!AE47)</f>
        <v>91425.295085219739</v>
      </c>
      <c r="AF48">
        <f>+AF47*(1-Probs_Hombres!AF47)</f>
        <v>91425.295328402863</v>
      </c>
      <c r="AG48">
        <f>+AG47*(1-Probs_Hombres!AG47)</f>
        <v>91425.295493508791</v>
      </c>
      <c r="AH48">
        <f>+AH47*(1-Probs_Hombres!AH47)</f>
        <v>91425.295605605264</v>
      </c>
    </row>
    <row r="49" spans="1:34" x14ac:dyDescent="0.25">
      <c r="A49">
        <f>+Probs_Hombres!A49</f>
        <v>47</v>
      </c>
      <c r="B49">
        <f>+B48*(1-Probs_Hombres!B48)</f>
        <v>91034.625381505248</v>
      </c>
      <c r="C49">
        <f>+C48*(1-Probs_Hombres!C48)</f>
        <v>91053.708647138468</v>
      </c>
      <c r="D49">
        <f>+D48*(1-Probs_Hombres!D48)</f>
        <v>91066.629850969053</v>
      </c>
      <c r="E49">
        <f>+E48*(1-Probs_Hombres!E48)</f>
        <v>91075.386391712789</v>
      </c>
      <c r="F49">
        <f>+F48*(1-Probs_Hombres!F48)</f>
        <v>91081.32410538863</v>
      </c>
      <c r="G49">
        <f>+G48*(1-Probs_Hombres!G48)</f>
        <v>91085.352020121572</v>
      </c>
      <c r="H49">
        <f>+H48*(1-Probs_Hombres!H48)</f>
        <v>91088.085145502671</v>
      </c>
      <c r="I49">
        <f>+I48*(1-Probs_Hombres!I48)</f>
        <v>91089.940039502733</v>
      </c>
      <c r="J49">
        <f>+J48*(1-Probs_Hombres!J48)</f>
        <v>91091.199060882631</v>
      </c>
      <c r="K49">
        <f>+K48*(1-Probs_Hombres!K48)</f>
        <v>91092.053702593141</v>
      </c>
      <c r="L49">
        <f>+L48*(1-Probs_Hombres!L48)</f>
        <v>91092.633879129076</v>
      </c>
      <c r="M49">
        <f>+M48*(1-Probs_Hombres!M48)</f>
        <v>91093.027749465051</v>
      </c>
      <c r="N49">
        <f>+N48*(1-Probs_Hombres!N48)</f>
        <v>91093.295147340788</v>
      </c>
      <c r="O49">
        <f>+O48*(1-Probs_Hombres!O48)</f>
        <v>91093.476686568698</v>
      </c>
      <c r="P49">
        <f>+P48*(1-Probs_Hombres!P48)</f>
        <v>91093.599936971223</v>
      </c>
      <c r="Q49">
        <f>+Q48*(1-Probs_Hombres!Q48)</f>
        <v>91093.683614689289</v>
      </c>
      <c r="R49">
        <f>+R48*(1-Probs_Hombres!R48)</f>
        <v>91093.740425863667</v>
      </c>
      <c r="S49">
        <f>+S48*(1-Probs_Hombres!S48)</f>
        <v>91093.77899672839</v>
      </c>
      <c r="T49">
        <f>+T48*(1-Probs_Hombres!T48)</f>
        <v>91093.805183750432</v>
      </c>
      <c r="U49">
        <f>+U48*(1-Probs_Hombres!U48)</f>
        <v>91093.822963008046</v>
      </c>
      <c r="V49">
        <f>+V48*(1-Probs_Hombres!V48)</f>
        <v>91093.835033963696</v>
      </c>
      <c r="W49">
        <f>+W48*(1-Probs_Hombres!W48)</f>
        <v>91093.843229361548</v>
      </c>
      <c r="X49">
        <f>+X48*(1-Probs_Hombres!X48)</f>
        <v>91093.848793509387</v>
      </c>
      <c r="Y49">
        <f>+Y48*(1-Probs_Hombres!Y48)</f>
        <v>91093.852571209325</v>
      </c>
      <c r="Z49">
        <f>+Z48*(1-Probs_Hombres!Z48)</f>
        <v>91093.855136026148</v>
      </c>
      <c r="AA49">
        <f>+AA48*(1-Probs_Hombres!AA48)</f>
        <v>91093.856877373095</v>
      </c>
      <c r="AB49">
        <f>+AB48*(1-Probs_Hombres!AB48)</f>
        <v>91093.858059636885</v>
      </c>
      <c r="AC49">
        <f>+AC48*(1-Probs_Hombres!AC48)</f>
        <v>91093.858862318724</v>
      </c>
      <c r="AD49">
        <f>+AD48*(1-Probs_Hombres!AD48)</f>
        <v>91093.859407288546</v>
      </c>
      <c r="AE49">
        <f>+AE48*(1-Probs_Hombres!AE48)</f>
        <v>91093.859777288511</v>
      </c>
      <c r="AF49">
        <f>+AF48*(1-Probs_Hombres!AF48)</f>
        <v>91093.860028494862</v>
      </c>
      <c r="AG49">
        <f>+AG48*(1-Probs_Hombres!AG48)</f>
        <v>91093.860199048053</v>
      </c>
      <c r="AH49">
        <f>+AH48*(1-Probs_Hombres!AH48)</f>
        <v>91093.860314842867</v>
      </c>
    </row>
    <row r="50" spans="1:34" x14ac:dyDescent="0.25">
      <c r="A50">
        <f>+Probs_Hombres!A50</f>
        <v>48</v>
      </c>
      <c r="B50">
        <f>+B49*(1-Probs_Hombres!B49)</f>
        <v>90687.979491036778</v>
      </c>
      <c r="C50">
        <f>+C49*(1-Probs_Hombres!C49)</f>
        <v>90707.720478781514</v>
      </c>
      <c r="D50">
        <f>+D49*(1-Probs_Hombres!D49)</f>
        <v>90721.087666308333</v>
      </c>
      <c r="E50">
        <f>+E49*(1-Probs_Hombres!E49)</f>
        <v>90730.146739845135</v>
      </c>
      <c r="F50">
        <f>+F49*(1-Probs_Hombres!F49)</f>
        <v>90736.289733370242</v>
      </c>
      <c r="G50">
        <f>+G49*(1-Probs_Hombres!G49)</f>
        <v>90740.456964437792</v>
      </c>
      <c r="H50">
        <f>+H49*(1-Probs_Hombres!H49)</f>
        <v>90743.284651109207</v>
      </c>
      <c r="I50">
        <f>+I49*(1-Probs_Hombres!I49)</f>
        <v>90745.203734393741</v>
      </c>
      <c r="J50">
        <f>+J49*(1-Probs_Hombres!J49)</f>
        <v>90746.50633076916</v>
      </c>
      <c r="K50">
        <f>+K49*(1-Probs_Hombres!K49)</f>
        <v>90747.390554620695</v>
      </c>
      <c r="L50">
        <f>+L49*(1-Probs_Hombres!L49)</f>
        <v>90747.990814392775</v>
      </c>
      <c r="M50">
        <f>+M49*(1-Probs_Hombres!M49)</f>
        <v>90748.398319436252</v>
      </c>
      <c r="N50">
        <f>+N49*(1-Probs_Hombres!N49)</f>
        <v>90748.674974166031</v>
      </c>
      <c r="O50">
        <f>+O49*(1-Probs_Hombres!O49)</f>
        <v>90748.862798096263</v>
      </c>
      <c r="P50">
        <f>+P49*(1-Probs_Hombres!P49)</f>
        <v>90748.99031536009</v>
      </c>
      <c r="Q50">
        <f>+Q49*(1-Probs_Hombres!Q49)</f>
        <v>90749.076889981778</v>
      </c>
      <c r="R50">
        <f>+R49*(1-Probs_Hombres!R49)</f>
        <v>90749.135667958559</v>
      </c>
      <c r="S50">
        <f>+S49*(1-Probs_Hombres!S49)</f>
        <v>90749.175574152032</v>
      </c>
      <c r="T50">
        <f>+T49*(1-Probs_Hombres!T49)</f>
        <v>90749.202667775084</v>
      </c>
      <c r="U50">
        <f>+U49*(1-Probs_Hombres!U49)</f>
        <v>90749.221062556098</v>
      </c>
      <c r="V50">
        <f>+V49*(1-Probs_Hombres!V49)</f>
        <v>90749.23355141253</v>
      </c>
      <c r="W50">
        <f>+W49*(1-Probs_Hombres!W49)</f>
        <v>90749.242030538226</v>
      </c>
      <c r="X50">
        <f>+X49*(1-Probs_Hombres!X49)</f>
        <v>90749.247787319153</v>
      </c>
      <c r="Y50">
        <f>+Y49*(1-Probs_Hombres!Y49)</f>
        <v>90749.251695804662</v>
      </c>
      <c r="Z50">
        <f>+Z49*(1-Probs_Hombres!Z49)</f>
        <v>90749.254349416544</v>
      </c>
      <c r="AA50">
        <f>+AA49*(1-Probs_Hombres!AA49)</f>
        <v>90749.256151049689</v>
      </c>
      <c r="AB50">
        <f>+AB49*(1-Probs_Hombres!AB49)</f>
        <v>90749.257374243985</v>
      </c>
      <c r="AC50">
        <f>+AC49*(1-Probs_Hombres!AC49)</f>
        <v>90749.258204715021</v>
      </c>
      <c r="AD50">
        <f>+AD49*(1-Probs_Hombres!AD49)</f>
        <v>90749.258768551954</v>
      </c>
      <c r="AE50">
        <f>+AE49*(1-Probs_Hombres!AE49)</f>
        <v>90749.259151361475</v>
      </c>
      <c r="AF50">
        <f>+AF49*(1-Probs_Hombres!AF49)</f>
        <v>90749.259411264706</v>
      </c>
      <c r="AG50">
        <f>+AG49*(1-Probs_Hombres!AG49)</f>
        <v>90749.259587722525</v>
      </c>
      <c r="AH50">
        <f>+AH49*(1-Probs_Hombres!AH49)</f>
        <v>90749.259707526202</v>
      </c>
    </row>
    <row r="51" spans="1:34" x14ac:dyDescent="0.25">
      <c r="A51">
        <f>+Probs_Hombres!A51</f>
        <v>49</v>
      </c>
      <c r="B51">
        <f>+B50*(1-Probs_Hombres!B50)</f>
        <v>90323.267757153226</v>
      </c>
      <c r="C51">
        <f>+C50*(1-Probs_Hombres!C50)</f>
        <v>90343.766544199243</v>
      </c>
      <c r="D51">
        <f>+D50*(1-Probs_Hombres!D50)</f>
        <v>90357.647486677568</v>
      </c>
      <c r="E51">
        <f>+E50*(1-Probs_Hombres!E50)</f>
        <v>90367.055024915506</v>
      </c>
      <c r="F51">
        <f>+F50*(1-Probs_Hombres!F50)</f>
        <v>90373.434446077968</v>
      </c>
      <c r="G51">
        <f>+G50*(1-Probs_Hombres!G50)</f>
        <v>90377.762123777022</v>
      </c>
      <c r="H51">
        <f>+H50*(1-Probs_Hombres!H50)</f>
        <v>90380.698710001554</v>
      </c>
      <c r="I51">
        <f>+I50*(1-Probs_Hombres!I50)</f>
        <v>90382.69171371503</v>
      </c>
      <c r="J51">
        <f>+J50*(1-Probs_Hombres!J50)</f>
        <v>90384.044490244181</v>
      </c>
      <c r="K51">
        <f>+K50*(1-Probs_Hombres!K50)</f>
        <v>90384.962779949507</v>
      </c>
      <c r="L51">
        <f>+L50*(1-Probs_Hombres!L50)</f>
        <v>90385.58616675892</v>
      </c>
      <c r="M51">
        <f>+M50*(1-Probs_Hombres!M50)</f>
        <v>90386.009372893954</v>
      </c>
      <c r="N51">
        <f>+N50*(1-Probs_Hombres!N50)</f>
        <v>90386.29668734585</v>
      </c>
      <c r="O51">
        <f>+O50*(1-Probs_Hombres!O50)</f>
        <v>90386.491748401953</v>
      </c>
      <c r="P51">
        <f>+P50*(1-Probs_Hombres!P50)</f>
        <v>90386.624179146136</v>
      </c>
      <c r="Q51">
        <f>+Q50*(1-Probs_Hombres!Q50)</f>
        <v>90386.714089677305</v>
      </c>
      <c r="R51">
        <f>+R50*(1-Probs_Hombres!R50)</f>
        <v>90386.775132510171</v>
      </c>
      <c r="S51">
        <f>+S50*(1-Probs_Hombres!S50)</f>
        <v>90386.816576390338</v>
      </c>
      <c r="T51">
        <f>+T50*(1-Probs_Hombres!T50)</f>
        <v>90386.844714001883</v>
      </c>
      <c r="U51">
        <f>+U50*(1-Probs_Hombres!U50)</f>
        <v>90386.863817583318</v>
      </c>
      <c r="V51">
        <f>+V50*(1-Probs_Hombres!V50)</f>
        <v>90386.876787669549</v>
      </c>
      <c r="W51">
        <f>+W50*(1-Probs_Hombres!W50)</f>
        <v>90386.885593519415</v>
      </c>
      <c r="X51">
        <f>+X50*(1-Probs_Hombres!X50)</f>
        <v>90386.89157212514</v>
      </c>
      <c r="Y51">
        <f>+Y50*(1-Probs_Hombres!Y50)</f>
        <v>90386.895631215535</v>
      </c>
      <c r="Z51">
        <f>+Z50*(1-Probs_Hombres!Z50)</f>
        <v>90386.898387078545</v>
      </c>
      <c r="AA51">
        <f>+AA50*(1-Probs_Hombres!AA50)</f>
        <v>90386.900258133683</v>
      </c>
      <c r="AB51">
        <f>+AB50*(1-Probs_Hombres!AB50)</f>
        <v>90386.901528461109</v>
      </c>
      <c r="AC51">
        <f>+AC50*(1-Probs_Hombres!AC50)</f>
        <v>90386.902390932533</v>
      </c>
      <c r="AD51">
        <f>+AD50*(1-Probs_Hombres!AD50)</f>
        <v>90386.902976495694</v>
      </c>
      <c r="AE51">
        <f>+AE50*(1-Probs_Hombres!AE50)</f>
        <v>90386.903374055953</v>
      </c>
      <c r="AF51">
        <f>+AF50*(1-Probs_Hombres!AF50)</f>
        <v>90386.903643973987</v>
      </c>
      <c r="AG51">
        <f>+AG50*(1-Probs_Hombres!AG50)</f>
        <v>90386.903827231232</v>
      </c>
      <c r="AH51">
        <f>+AH50*(1-Probs_Hombres!AH50)</f>
        <v>90386.903951651271</v>
      </c>
    </row>
    <row r="52" spans="1:34" x14ac:dyDescent="0.25">
      <c r="A52">
        <f>+Probs_Hombres!A52</f>
        <v>50</v>
      </c>
      <c r="B52">
        <f>+B51*(1-Probs_Hombres!B51)</f>
        <v>89931.843531308026</v>
      </c>
      <c r="C52">
        <f>+C51*(1-Probs_Hombres!C51)</f>
        <v>89953.166256425189</v>
      </c>
      <c r="D52">
        <f>+D51*(1-Probs_Hombres!D51)</f>
        <v>89967.605783118226</v>
      </c>
      <c r="E52">
        <f>+E51*(1-Probs_Hombres!E51)</f>
        <v>89977.392187829129</v>
      </c>
      <c r="F52">
        <f>+F51*(1-Probs_Hombres!F51)</f>
        <v>89984.028661624223</v>
      </c>
      <c r="G52">
        <f>+G51*(1-Probs_Hombres!G51)</f>
        <v>89988.530781699068</v>
      </c>
      <c r="H52">
        <f>+H51*(1-Probs_Hombres!H51)</f>
        <v>89991.585766325385</v>
      </c>
      <c r="I52">
        <f>+I51*(1-Probs_Hombres!I51)</f>
        <v>89993.659138028059</v>
      </c>
      <c r="J52">
        <f>+J51*(1-Probs_Hombres!J51)</f>
        <v>89995.066471478232</v>
      </c>
      <c r="K52">
        <f>+K51*(1-Probs_Hombres!K51)</f>
        <v>89996.021798253991</v>
      </c>
      <c r="L52">
        <f>+L51*(1-Probs_Hombres!L51)</f>
        <v>89996.67032921582</v>
      </c>
      <c r="M52">
        <f>+M51*(1-Probs_Hombres!M51)</f>
        <v>89997.110605865237</v>
      </c>
      <c r="N52">
        <f>+N51*(1-Probs_Hombres!N51)</f>
        <v>89997.409509757999</v>
      </c>
      <c r="O52">
        <f>+O51*(1-Probs_Hombres!O51)</f>
        <v>89997.612439145014</v>
      </c>
      <c r="P52">
        <f>+P51*(1-Probs_Hombres!P51)</f>
        <v>89997.750211910781</v>
      </c>
      <c r="Q52">
        <f>+Q51*(1-Probs_Hombres!Q51)</f>
        <v>89997.843749300562</v>
      </c>
      <c r="R52">
        <f>+R51*(1-Probs_Hombres!R51)</f>
        <v>89997.90725452402</v>
      </c>
      <c r="S52">
        <f>+S51*(1-Probs_Hombres!S51)</f>
        <v>89997.950370203587</v>
      </c>
      <c r="T52">
        <f>+T51*(1-Probs_Hombres!T51)</f>
        <v>89997.979642857317</v>
      </c>
      <c r="U52">
        <f>+U51*(1-Probs_Hombres!U51)</f>
        <v>89997.999517058706</v>
      </c>
      <c r="V52">
        <f>+V51*(1-Probs_Hombres!V51)</f>
        <v>89998.013010346214</v>
      </c>
      <c r="W52">
        <f>+W51*(1-Probs_Hombres!W51)</f>
        <v>89998.022171416174</v>
      </c>
      <c r="X52">
        <f>+X51*(1-Probs_Hombres!X51)</f>
        <v>89998.028391193613</v>
      </c>
      <c r="Y52">
        <f>+Y51*(1-Probs_Hombres!Y51)</f>
        <v>89998.03261402421</v>
      </c>
      <c r="Z52">
        <f>+Z51*(1-Probs_Hombres!Z51)</f>
        <v>89998.035481056373</v>
      </c>
      <c r="AA52">
        <f>+AA51*(1-Probs_Hombres!AA51)</f>
        <v>89998.037427588293</v>
      </c>
      <c r="AB52">
        <f>+AB51*(1-Probs_Hombres!AB51)</f>
        <v>89998.038749159663</v>
      </c>
      <c r="AC52">
        <f>+AC51*(1-Probs_Hombres!AC51)</f>
        <v>89998.039646422447</v>
      </c>
      <c r="AD52">
        <f>+AD51*(1-Probs_Hombres!AD51)</f>
        <v>89998.040255606742</v>
      </c>
      <c r="AE52">
        <f>+AE51*(1-Probs_Hombres!AE51)</f>
        <v>89998.04066920426</v>
      </c>
      <c r="AF52">
        <f>+AF51*(1-Probs_Hombres!AF51)</f>
        <v>89998.04095001056</v>
      </c>
      <c r="AG52">
        <f>+AG51*(1-Probs_Hombres!AG51)</f>
        <v>89998.041140660236</v>
      </c>
      <c r="AH52">
        <f>+AH51*(1-Probs_Hombres!AH51)</f>
        <v>89998.041270099289</v>
      </c>
    </row>
    <row r="53" spans="1:34" x14ac:dyDescent="0.25">
      <c r="A53">
        <f>+Probs_Hombres!A53</f>
        <v>51</v>
      </c>
      <c r="B53">
        <f>+B52*(1-Probs_Hombres!B52)</f>
        <v>89513.295603452963</v>
      </c>
      <c r="C53">
        <f>+C52*(1-Probs_Hombres!C52)</f>
        <v>89535.516431979995</v>
      </c>
      <c r="D53">
        <f>+D52*(1-Probs_Hombres!D52)</f>
        <v>89550.564804394206</v>
      </c>
      <c r="E53">
        <f>+E52*(1-Probs_Hombres!E52)</f>
        <v>89560.764157541213</v>
      </c>
      <c r="F53">
        <f>+F52*(1-Probs_Hombres!F52)</f>
        <v>89567.680803916301</v>
      </c>
      <c r="G53">
        <f>+G52*(1-Probs_Hombres!G52)</f>
        <v>89572.373054337397</v>
      </c>
      <c r="H53">
        <f>+H52*(1-Probs_Hombres!H52)</f>
        <v>89575.557084350585</v>
      </c>
      <c r="I53">
        <f>+I52*(1-Probs_Hombres!I52)</f>
        <v>89577.718050756084</v>
      </c>
      <c r="J53">
        <f>+J52*(1-Probs_Hombres!J52)</f>
        <v>89579.184846725024</v>
      </c>
      <c r="K53">
        <f>+K52*(1-Probs_Hombres!K52)</f>
        <v>89580.180540754052</v>
      </c>
      <c r="L53">
        <f>+L52*(1-Probs_Hombres!L52)</f>
        <v>89580.856476663554</v>
      </c>
      <c r="M53">
        <f>+M52*(1-Probs_Hombres!M52)</f>
        <v>89581.315358677341</v>
      </c>
      <c r="N53">
        <f>+N52*(1-Probs_Hombres!N52)</f>
        <v>89581.626894036788</v>
      </c>
      <c r="O53">
        <f>+O52*(1-Probs_Hombres!O52)</f>
        <v>89581.838399205706</v>
      </c>
      <c r="P53">
        <f>+P52*(1-Probs_Hombres!P52)</f>
        <v>89581.981994298898</v>
      </c>
      <c r="Q53">
        <f>+Q52*(1-Probs_Hombres!Q52)</f>
        <v>89582.079484640519</v>
      </c>
      <c r="R53">
        <f>+R52*(1-Probs_Hombres!R52)</f>
        <v>89582.145673649342</v>
      </c>
      <c r="S53">
        <f>+S52*(1-Probs_Hombres!S52)</f>
        <v>89582.190611440485</v>
      </c>
      <c r="T53">
        <f>+T52*(1-Probs_Hombres!T52)</f>
        <v>89582.221121188428</v>
      </c>
      <c r="U53">
        <f>+U52*(1-Probs_Hombres!U52)</f>
        <v>89582.241835296445</v>
      </c>
      <c r="V53">
        <f>+V52*(1-Probs_Hombres!V52)</f>
        <v>89582.255898826392</v>
      </c>
      <c r="W53">
        <f>+W52*(1-Probs_Hombres!W52)</f>
        <v>89582.265447054364</v>
      </c>
      <c r="X53">
        <f>+X52*(1-Probs_Hombres!X52)</f>
        <v>89582.271929687326</v>
      </c>
      <c r="Y53">
        <f>+Y52*(1-Probs_Hombres!Y52)</f>
        <v>89582.27633098005</v>
      </c>
      <c r="Z53">
        <f>+Z52*(1-Probs_Hombres!Z52)</f>
        <v>89582.279319176625</v>
      </c>
      <c r="AA53">
        <f>+AA52*(1-Probs_Hombres!AA52)</f>
        <v>89582.281347971453</v>
      </c>
      <c r="AB53">
        <f>+AB52*(1-Probs_Hombres!AB52)</f>
        <v>89582.282725394107</v>
      </c>
      <c r="AC53">
        <f>+AC52*(1-Probs_Hombres!AC52)</f>
        <v>89582.283660576373</v>
      </c>
      <c r="AD53">
        <f>+AD52*(1-Probs_Hombres!AD52)</f>
        <v>89582.284295505568</v>
      </c>
      <c r="AE53">
        <f>+AE52*(1-Probs_Hombres!AE52)</f>
        <v>89582.284726582249</v>
      </c>
      <c r="AF53">
        <f>+AF52*(1-Probs_Hombres!AF52)</f>
        <v>89582.285019255782</v>
      </c>
      <c r="AG53">
        <f>+AG52*(1-Probs_Hombres!AG52)</f>
        <v>89582.285217962562</v>
      </c>
      <c r="AH53">
        <f>+AH52*(1-Probs_Hombres!AH52)</f>
        <v>89582.28535287187</v>
      </c>
    </row>
    <row r="54" spans="1:34" x14ac:dyDescent="0.25">
      <c r="A54">
        <f>+Probs_Hombres!A54</f>
        <v>52</v>
      </c>
      <c r="B54">
        <f>+B53*(1-Probs_Hombres!B53)</f>
        <v>89069.882805759742</v>
      </c>
      <c r="C54">
        <f>+C53*(1-Probs_Hombres!C53)</f>
        <v>89092.990026873726</v>
      </c>
      <c r="D54">
        <f>+D53*(1-Probs_Hombres!D53)</f>
        <v>89108.639400404471</v>
      </c>
      <c r="E54">
        <f>+E53*(1-Probs_Hombres!E53)</f>
        <v>89119.246424857527</v>
      </c>
      <c r="F54">
        <f>+F53*(1-Probs_Hombres!F53)</f>
        <v>89126.439683453762</v>
      </c>
      <c r="G54">
        <f>+G53*(1-Probs_Hombres!G53)</f>
        <v>89131.3196573108</v>
      </c>
      <c r="H54">
        <f>+H53*(1-Probs_Hombres!H53)</f>
        <v>89134.631103336898</v>
      </c>
      <c r="I54">
        <f>+I53*(1-Probs_Hombres!I53)</f>
        <v>89136.878560399055</v>
      </c>
      <c r="J54">
        <f>+J53*(1-Probs_Hombres!J53)</f>
        <v>89138.404070321034</v>
      </c>
      <c r="K54">
        <f>+K53*(1-Probs_Hombres!K53)</f>
        <v>89139.439623840866</v>
      </c>
      <c r="L54">
        <f>+L53*(1-Probs_Hombres!L53)</f>
        <v>89140.142620174403</v>
      </c>
      <c r="M54">
        <f>+M53*(1-Probs_Hombres!M53)</f>
        <v>89140.619873741889</v>
      </c>
      <c r="N54">
        <f>+N53*(1-Probs_Hombres!N53)</f>
        <v>89140.943881871077</v>
      </c>
      <c r="O54">
        <f>+O53*(1-Probs_Hombres!O53)</f>
        <v>89141.163855097795</v>
      </c>
      <c r="P54">
        <f>+P53*(1-Probs_Hombres!P53)</f>
        <v>89141.313199390264</v>
      </c>
      <c r="Q54">
        <f>+Q53*(1-Probs_Hombres!Q53)</f>
        <v>89141.414593038848</v>
      </c>
      <c r="R54">
        <f>+R53*(1-Probs_Hombres!R53)</f>
        <v>89141.483432129375</v>
      </c>
      <c r="S54">
        <f>+S53*(1-Probs_Hombres!S53)</f>
        <v>89141.530169150399</v>
      </c>
      <c r="T54">
        <f>+T53*(1-Probs_Hombres!T53)</f>
        <v>89141.561900457775</v>
      </c>
      <c r="U54">
        <f>+U53*(1-Probs_Hombres!U53)</f>
        <v>89141.583443925498</v>
      </c>
      <c r="V54">
        <f>+V53*(1-Probs_Hombres!V53)</f>
        <v>89141.598070537264</v>
      </c>
      <c r="W54">
        <f>+W53*(1-Probs_Hombres!W53)</f>
        <v>89141.608001061715</v>
      </c>
      <c r="X54">
        <f>+X53*(1-Probs_Hombres!X53)</f>
        <v>89141.614743249535</v>
      </c>
      <c r="Y54">
        <f>+Y53*(1-Probs_Hombres!Y53)</f>
        <v>89141.61932076345</v>
      </c>
      <c r="Z54">
        <f>+Z53*(1-Probs_Hombres!Z53)</f>
        <v>89141.622428602976</v>
      </c>
      <c r="AA54">
        <f>+AA53*(1-Probs_Hombres!AA53)</f>
        <v>89141.624538627759</v>
      </c>
      <c r="AB54">
        <f>+AB53*(1-Probs_Hombres!AB53)</f>
        <v>89141.625971200396</v>
      </c>
      <c r="AC54">
        <f>+AC53*(1-Probs_Hombres!AC53)</f>
        <v>89141.626943825977</v>
      </c>
      <c r="AD54">
        <f>+AD53*(1-Probs_Hombres!AD53)</f>
        <v>89141.627604176814</v>
      </c>
      <c r="AE54">
        <f>+AE53*(1-Probs_Hombres!AE53)</f>
        <v>89141.628052513159</v>
      </c>
      <c r="AF54">
        <f>+AF53*(1-Probs_Hombres!AF53)</f>
        <v>89141.628356904912</v>
      </c>
      <c r="AG54">
        <f>+AG53*(1-Probs_Hombres!AG53)</f>
        <v>89141.628563567632</v>
      </c>
      <c r="AH54">
        <f>+AH53*(1-Probs_Hombres!AH53)</f>
        <v>89141.628703878509</v>
      </c>
    </row>
    <row r="55" spans="1:34" x14ac:dyDescent="0.25">
      <c r="A55">
        <f>+Probs_Hombres!A55</f>
        <v>53</v>
      </c>
      <c r="B55">
        <f>+B54*(1-Probs_Hombres!B54)</f>
        <v>88597.136038079945</v>
      </c>
      <c r="C55">
        <f>+C54*(1-Probs_Hombres!C54)</f>
        <v>88621.086839946976</v>
      </c>
      <c r="D55">
        <f>+D54*(1-Probs_Hombres!D54)</f>
        <v>88637.308320245327</v>
      </c>
      <c r="E55">
        <f>+E54*(1-Probs_Hombres!E54)</f>
        <v>88648.303477760419</v>
      </c>
      <c r="F55">
        <f>+F54*(1-Probs_Hombres!F54)</f>
        <v>88655.760119795726</v>
      </c>
      <c r="G55">
        <f>+G54*(1-Probs_Hombres!G54)</f>
        <v>88660.818852367913</v>
      </c>
      <c r="H55">
        <f>+H54*(1-Probs_Hombres!H54)</f>
        <v>88664.25163566129</v>
      </c>
      <c r="I55">
        <f>+I54*(1-Probs_Hombres!I54)</f>
        <v>88666.58145985959</v>
      </c>
      <c r="J55">
        <f>+J54*(1-Probs_Hombres!J54)</f>
        <v>88668.162885767364</v>
      </c>
      <c r="K55">
        <f>+K54*(1-Probs_Hombres!K54)</f>
        <v>88669.236399892339</v>
      </c>
      <c r="L55">
        <f>+L54*(1-Probs_Hombres!L54)</f>
        <v>88669.965167775794</v>
      </c>
      <c r="M55">
        <f>+M54*(1-Probs_Hombres!M54)</f>
        <v>88670.459917994012</v>
      </c>
      <c r="N55">
        <f>+N54*(1-Probs_Hombres!N54)</f>
        <v>88670.795804963476</v>
      </c>
      <c r="O55">
        <f>+O54*(1-Probs_Hombres!O54)</f>
        <v>88671.023843041738</v>
      </c>
      <c r="P55">
        <f>+P54*(1-Probs_Hombres!P54)</f>
        <v>88671.1786627978</v>
      </c>
      <c r="Q55">
        <f>+Q54*(1-Probs_Hombres!Q54)</f>
        <v>88671.283773911447</v>
      </c>
      <c r="R55">
        <f>+R54*(1-Probs_Hombres!R54)</f>
        <v>88671.355136912214</v>
      </c>
      <c r="S55">
        <f>+S54*(1-Probs_Hombres!S54)</f>
        <v>88671.403587502224</v>
      </c>
      <c r="T55">
        <f>+T54*(1-Probs_Hombres!T54)</f>
        <v>88671.436482211429</v>
      </c>
      <c r="U55">
        <f>+U54*(1-Probs_Hombres!U54)</f>
        <v>88671.45881555388</v>
      </c>
      <c r="V55">
        <f>+V54*(1-Probs_Hombres!V54)</f>
        <v>88671.473978439841</v>
      </c>
      <c r="W55">
        <f>+W54*(1-Probs_Hombres!W54)</f>
        <v>88671.484273060138</v>
      </c>
      <c r="X55">
        <f>+X54*(1-Probs_Hombres!X54)</f>
        <v>88671.491262445794</v>
      </c>
      <c r="Y55">
        <f>+Y54*(1-Probs_Hombres!Y54)</f>
        <v>88671.496007791269</v>
      </c>
      <c r="Z55">
        <f>+Z54*(1-Probs_Hombres!Z54)</f>
        <v>88671.499229577734</v>
      </c>
      <c r="AA55">
        <f>+AA54*(1-Probs_Hombres!AA54)</f>
        <v>88671.501416965242</v>
      </c>
      <c r="AB55">
        <f>+AB54*(1-Probs_Hombres!AB54)</f>
        <v>88671.502902062261</v>
      </c>
      <c r="AC55">
        <f>+AC54*(1-Probs_Hombres!AC54)</f>
        <v>88671.503910348547</v>
      </c>
      <c r="AD55">
        <f>+AD54*(1-Probs_Hombres!AD54)</f>
        <v>88671.50459491073</v>
      </c>
      <c r="AE55">
        <f>+AE54*(1-Probs_Hombres!AE54)</f>
        <v>88671.505059685049</v>
      </c>
      <c r="AF55">
        <f>+AF54*(1-Probs_Hombres!AF54)</f>
        <v>88671.505375237146</v>
      </c>
      <c r="AG55">
        <f>+AG54*(1-Probs_Hombres!AG54)</f>
        <v>88671.505589477019</v>
      </c>
      <c r="AH55">
        <f>+AH54*(1-Probs_Hombres!AH54)</f>
        <v>88671.505734932303</v>
      </c>
    </row>
    <row r="56" spans="1:34" x14ac:dyDescent="0.25">
      <c r="A56">
        <f>+Probs_Hombres!A56</f>
        <v>54</v>
      </c>
      <c r="B56">
        <f>+B55*(1-Probs_Hombres!B55)</f>
        <v>88095.38048903922</v>
      </c>
      <c r="C56">
        <f>+C55*(1-Probs_Hombres!C55)</f>
        <v>88120.117282187028</v>
      </c>
      <c r="D56">
        <f>+D55*(1-Probs_Hombres!D55)</f>
        <v>88136.871945869323</v>
      </c>
      <c r="E56">
        <f>+E55*(1-Probs_Hombres!E55)</f>
        <v>88148.228891017396</v>
      </c>
      <c r="F56">
        <f>+F55*(1-Probs_Hombres!F55)</f>
        <v>88155.931066944831</v>
      </c>
      <c r="G56">
        <f>+G55*(1-Probs_Hombres!G55)</f>
        <v>88161.156456714671</v>
      </c>
      <c r="H56">
        <f>+H55*(1-Probs_Hombres!H55)</f>
        <v>88164.702369033417</v>
      </c>
      <c r="I56">
        <f>+I55*(1-Probs_Hombres!I55)</f>
        <v>88167.108991142275</v>
      </c>
      <c r="J56">
        <f>+J55*(1-Probs_Hombres!J55)</f>
        <v>88168.742553567165</v>
      </c>
      <c r="K56">
        <f>+K55*(1-Probs_Hombres!K55)</f>
        <v>88169.851463053215</v>
      </c>
      <c r="L56">
        <f>+L55*(1-Probs_Hombres!L55)</f>
        <v>88170.604261206026</v>
      </c>
      <c r="M56">
        <f>+M55*(1-Probs_Hombres!M55)</f>
        <v>88171.115326020779</v>
      </c>
      <c r="N56">
        <f>+N55*(1-Probs_Hombres!N55)</f>
        <v>88171.462289366682</v>
      </c>
      <c r="O56">
        <f>+O55*(1-Probs_Hombres!O55)</f>
        <v>88171.697847509524</v>
      </c>
      <c r="P56">
        <f>+P55*(1-Probs_Hombres!P55)</f>
        <v>88171.857772869567</v>
      </c>
      <c r="Q56">
        <f>+Q55*(1-Probs_Hombres!Q55)</f>
        <v>88171.966350344519</v>
      </c>
      <c r="R56">
        <f>+R55*(1-Probs_Hombres!R55)</f>
        <v>88172.040066775458</v>
      </c>
      <c r="S56">
        <f>+S55*(1-Probs_Hombres!S55)</f>
        <v>88172.090115190891</v>
      </c>
      <c r="T56">
        <f>+T55*(1-Probs_Hombres!T55)</f>
        <v>88172.124094720159</v>
      </c>
      <c r="U56">
        <f>+U55*(1-Probs_Hombres!U55)</f>
        <v>88172.147164585622</v>
      </c>
      <c r="V56">
        <f>+V55*(1-Probs_Hombres!V55)</f>
        <v>88172.162827523513</v>
      </c>
      <c r="W56">
        <f>+W55*(1-Probs_Hombres!W55)</f>
        <v>88172.173461647108</v>
      </c>
      <c r="X56">
        <f>+X55*(1-Probs_Hombres!X55)</f>
        <v>88172.18068153385</v>
      </c>
      <c r="Y56">
        <f>+Y55*(1-Probs_Hombres!Y55)</f>
        <v>88172.18558337487</v>
      </c>
      <c r="Z56">
        <f>+Z55*(1-Probs_Hombres!Z55)</f>
        <v>88172.188911411868</v>
      </c>
      <c r="AA56">
        <f>+AA55*(1-Probs_Hombres!AA55)</f>
        <v>88172.191170936712</v>
      </c>
      <c r="AB56">
        <f>+AB55*(1-Probs_Hombres!AB55)</f>
        <v>88172.192705010399</v>
      </c>
      <c r="AC56">
        <f>+AC55*(1-Probs_Hombres!AC55)</f>
        <v>88172.193746548743</v>
      </c>
      <c r="AD56">
        <f>+AD55*(1-Probs_Hombres!AD55)</f>
        <v>88172.194453686941</v>
      </c>
      <c r="AE56">
        <f>+AE55*(1-Probs_Hombres!AE55)</f>
        <v>88172.194933788953</v>
      </c>
      <c r="AF56">
        <f>+AF55*(1-Probs_Hombres!AF55)</f>
        <v>88172.195259747576</v>
      </c>
      <c r="AG56">
        <f>+AG55*(1-Probs_Hombres!AG55)</f>
        <v>88172.195481052811</v>
      </c>
      <c r="AH56">
        <f>+AH55*(1-Probs_Hombres!AH55)</f>
        <v>88172.195631305032</v>
      </c>
    </row>
    <row r="57" spans="1:34" x14ac:dyDescent="0.25">
      <c r="A57">
        <f>+Probs_Hombres!A57</f>
        <v>55</v>
      </c>
      <c r="B57">
        <f>+B56*(1-Probs_Hombres!B56)</f>
        <v>87559.893091205973</v>
      </c>
      <c r="C57">
        <f>+C56*(1-Probs_Hombres!C56)</f>
        <v>87585.477179818394</v>
      </c>
      <c r="D57">
        <f>+D56*(1-Probs_Hombres!D56)</f>
        <v>87602.806608926243</v>
      </c>
      <c r="E57">
        <f>+E56*(1-Probs_Hombres!E56)</f>
        <v>87614.553554984202</v>
      </c>
      <c r="F57">
        <f>+F56*(1-Probs_Hombres!F56)</f>
        <v>87622.520411386751</v>
      </c>
      <c r="G57">
        <f>+G56*(1-Probs_Hombres!G56)</f>
        <v>87627.925453774325</v>
      </c>
      <c r="H57">
        <f>+H56*(1-Probs_Hombres!H56)</f>
        <v>87631.593316387443</v>
      </c>
      <c r="I57">
        <f>+I56*(1-Probs_Hombres!I56)</f>
        <v>87634.082724660082</v>
      </c>
      <c r="J57">
        <f>+J56*(1-Probs_Hombres!J56)</f>
        <v>87635.772488863789</v>
      </c>
      <c r="K57">
        <f>+K56*(1-Probs_Hombres!K56)</f>
        <v>87636.919553589323</v>
      </c>
      <c r="L57">
        <f>+L56*(1-Probs_Hombres!L56)</f>
        <v>87637.698255712457</v>
      </c>
      <c r="M57">
        <f>+M56*(1-Probs_Hombres!M56)</f>
        <v>87638.22690721025</v>
      </c>
      <c r="N57">
        <f>+N56*(1-Probs_Hombres!N56)</f>
        <v>87638.585810581266</v>
      </c>
      <c r="O57">
        <f>+O56*(1-Probs_Hombres!O56)</f>
        <v>87638.829475143313</v>
      </c>
      <c r="P57">
        <f>+P56*(1-Probs_Hombres!P56)</f>
        <v>87638.994904201216</v>
      </c>
      <c r="Q57">
        <f>+Q56*(1-Probs_Hombres!Q56)</f>
        <v>87639.107218316232</v>
      </c>
      <c r="R57">
        <f>+R56*(1-Probs_Hombres!R56)</f>
        <v>87639.183471678669</v>
      </c>
      <c r="S57">
        <f>+S56*(1-Probs_Hombres!S56)</f>
        <v>87639.235242504918</v>
      </c>
      <c r="T57">
        <f>+T56*(1-Probs_Hombres!T56)</f>
        <v>87639.270391439626</v>
      </c>
      <c r="U57">
        <f>+U56*(1-Probs_Hombres!U56)</f>
        <v>87639.294255256144</v>
      </c>
      <c r="V57">
        <f>+V56*(1-Probs_Hombres!V56)</f>
        <v>87639.310457235915</v>
      </c>
      <c r="W57">
        <f>+W56*(1-Probs_Hombres!W56)</f>
        <v>87639.321457334489</v>
      </c>
      <c r="X57">
        <f>+X56*(1-Probs_Hombres!X56)</f>
        <v>87639.328925694907</v>
      </c>
      <c r="Y57">
        <f>+Y56*(1-Probs_Hombres!Y56)</f>
        <v>87639.33399623372</v>
      </c>
      <c r="Z57">
        <f>+Z56*(1-Probs_Hombres!Z56)</f>
        <v>87639.337438805771</v>
      </c>
      <c r="AA57">
        <f>+AA56*(1-Probs_Hombres!AA56)</f>
        <v>87639.339776092645</v>
      </c>
      <c r="AB57">
        <f>+AB56*(1-Probs_Hombres!AB56)</f>
        <v>87639.341362961786</v>
      </c>
      <c r="AC57">
        <f>+AC56*(1-Probs_Hombres!AC56)</f>
        <v>87639.342440344903</v>
      </c>
      <c r="AD57">
        <f>+AD56*(1-Probs_Hombres!AD56)</f>
        <v>87639.343171819419</v>
      </c>
      <c r="AE57">
        <f>+AE56*(1-Probs_Hombres!AE56)</f>
        <v>87639.343668444257</v>
      </c>
      <c r="AF57">
        <f>+AF56*(1-Probs_Hombres!AF56)</f>
        <v>87639.344005620806</v>
      </c>
      <c r="AG57">
        <f>+AG56*(1-Probs_Hombres!AG56)</f>
        <v>87639.344234542325</v>
      </c>
      <c r="AH57">
        <f>+AH56*(1-Probs_Hombres!AH56)</f>
        <v>87639.344389965496</v>
      </c>
    </row>
    <row r="58" spans="1:34" x14ac:dyDescent="0.25">
      <c r="A58">
        <f>+Probs_Hombres!A58</f>
        <v>56</v>
      </c>
      <c r="B58">
        <f>+B57*(1-Probs_Hombres!B57)</f>
        <v>86994.185587905624</v>
      </c>
      <c r="C58">
        <f>+C57*(1-Probs_Hombres!C57)</f>
        <v>87020.735364290769</v>
      </c>
      <c r="D58">
        <f>+D57*(1-Probs_Hombres!D57)</f>
        <v>87038.719786980218</v>
      </c>
      <c r="E58">
        <f>+E57*(1-Probs_Hombres!E57)</f>
        <v>87050.911133412636</v>
      </c>
      <c r="F58">
        <f>+F57*(1-Probs_Hombres!F57)</f>
        <v>87059.179571649423</v>
      </c>
      <c r="G58">
        <f>+G57*(1-Probs_Hombres!G57)</f>
        <v>87064.789305391518</v>
      </c>
      <c r="H58">
        <f>+H57*(1-Probs_Hombres!H57)</f>
        <v>87068.59611112409</v>
      </c>
      <c r="I58">
        <f>+I57*(1-Probs_Hombres!I57)</f>
        <v>87071.179839435077</v>
      </c>
      <c r="J58">
        <f>+J57*(1-Probs_Hombres!J57)</f>
        <v>87072.933634722678</v>
      </c>
      <c r="K58">
        <f>+K57*(1-Probs_Hombres!K57)</f>
        <v>87074.124169614064</v>
      </c>
      <c r="L58">
        <f>+L57*(1-Probs_Hombres!L57)</f>
        <v>87074.932383894033</v>
      </c>
      <c r="M58">
        <f>+M57*(1-Probs_Hombres!M57)</f>
        <v>87075.481071660965</v>
      </c>
      <c r="N58">
        <f>+N57*(1-Probs_Hombres!N57)</f>
        <v>87075.85357810439</v>
      </c>
      <c r="O58">
        <f>+O57*(1-Probs_Hombres!O57)</f>
        <v>87076.106478158646</v>
      </c>
      <c r="P58">
        <f>+P57*(1-Probs_Hombres!P57)</f>
        <v>87076.278177469212</v>
      </c>
      <c r="Q58">
        <f>+Q57*(1-Probs_Hombres!Q57)</f>
        <v>87076.394748659848</v>
      </c>
      <c r="R58">
        <f>+R57*(1-Probs_Hombres!R57)</f>
        <v>87076.473892293463</v>
      </c>
      <c r="S58">
        <f>+S57*(1-Probs_Hombres!S57)</f>
        <v>87076.527625424351</v>
      </c>
      <c r="T58">
        <f>+T57*(1-Probs_Hombres!T57)</f>
        <v>87076.564106636535</v>
      </c>
      <c r="U58">
        <f>+U57*(1-Probs_Hombres!U57)</f>
        <v>87076.588874983558</v>
      </c>
      <c r="V58">
        <f>+V57*(1-Probs_Hombres!V57)</f>
        <v>87076.605691081524</v>
      </c>
      <c r="W58">
        <f>+W57*(1-Probs_Hombres!W57)</f>
        <v>87076.617108127044</v>
      </c>
      <c r="X58">
        <f>+X57*(1-Probs_Hombres!X57)</f>
        <v>87076.624859567833</v>
      </c>
      <c r="Y58">
        <f>+Y57*(1-Probs_Hombres!Y57)</f>
        <v>87076.630122300179</v>
      </c>
      <c r="Z58">
        <f>+Z57*(1-Probs_Hombres!Z57)</f>
        <v>87076.633695359415</v>
      </c>
      <c r="AA58">
        <f>+AA57*(1-Probs_Hombres!AA57)</f>
        <v>87076.636121238771</v>
      </c>
      <c r="AB58">
        <f>+AB57*(1-Probs_Hombres!AB57)</f>
        <v>87076.63776825658</v>
      </c>
      <c r="AC58">
        <f>+AC57*(1-Probs_Hombres!AC57)</f>
        <v>87076.638886476809</v>
      </c>
      <c r="AD58">
        <f>+AD57*(1-Probs_Hombres!AD57)</f>
        <v>87076.639645677133</v>
      </c>
      <c r="AE58">
        <f>+AE57*(1-Probs_Hombres!AE57)</f>
        <v>87076.640161126037</v>
      </c>
      <c r="AF58">
        <f>+AF57*(1-Probs_Hombres!AF57)</f>
        <v>87076.640511082922</v>
      </c>
      <c r="AG58">
        <f>+AG57*(1-Probs_Hombres!AG57)</f>
        <v>87076.640748681486</v>
      </c>
      <c r="AH58">
        <f>+AH57*(1-Probs_Hombres!AH57)</f>
        <v>87076.640909995811</v>
      </c>
    </row>
    <row r="59" spans="1:34" x14ac:dyDescent="0.25">
      <c r="A59">
        <f>+Probs_Hombres!A59</f>
        <v>57</v>
      </c>
      <c r="B59">
        <f>+B58*(1-Probs_Hombres!B58)</f>
        <v>86397.860095851807</v>
      </c>
      <c r="C59">
        <f>+C58*(1-Probs_Hombres!C58)</f>
        <v>86425.386105989091</v>
      </c>
      <c r="D59">
        <f>+D58*(1-Probs_Hombres!D58)</f>
        <v>86444.032735705885</v>
      </c>
      <c r="E59">
        <f>+E58*(1-Probs_Hombres!E58)</f>
        <v>86456.673404511748</v>
      </c>
      <c r="F59">
        <f>+F58*(1-Probs_Hombres!F58)</f>
        <v>86465.246777586828</v>
      </c>
      <c r="G59">
        <f>+G58*(1-Probs_Hombres!G58)</f>
        <v>86471.063484351151</v>
      </c>
      <c r="H59">
        <f>+H58*(1-Probs_Hombres!H58)</f>
        <v>86475.01078470076</v>
      </c>
      <c r="I59">
        <f>+I58*(1-Probs_Hombres!I58)</f>
        <v>86477.689887519358</v>
      </c>
      <c r="J59">
        <f>+J58*(1-Probs_Hombres!J58)</f>
        <v>86479.508430315705</v>
      </c>
      <c r="K59">
        <f>+K58*(1-Probs_Hombres!K58)</f>
        <v>86480.742922013655</v>
      </c>
      <c r="L59">
        <f>+L58*(1-Probs_Hombres!L58)</f>
        <v>86481.580978956292</v>
      </c>
      <c r="M59">
        <f>+M58*(1-Probs_Hombres!M58)</f>
        <v>86482.149927434468</v>
      </c>
      <c r="N59">
        <f>+N58*(1-Probs_Hombres!N58)</f>
        <v>86482.536189355102</v>
      </c>
      <c r="O59">
        <f>+O58*(1-Probs_Hombres!O58)</f>
        <v>86482.798428385315</v>
      </c>
      <c r="P59">
        <f>+P58*(1-Probs_Hombres!P58)</f>
        <v>86482.976468212277</v>
      </c>
      <c r="Q59">
        <f>+Q58*(1-Probs_Hombres!Q58)</f>
        <v>86483.0973441854</v>
      </c>
      <c r="R59">
        <f>+R58*(1-Probs_Hombres!R58)</f>
        <v>86483.179410481142</v>
      </c>
      <c r="S59">
        <f>+S58*(1-Probs_Hombres!S58)</f>
        <v>86483.235127908541</v>
      </c>
      <c r="T59">
        <f>+T58*(1-Probs_Hombres!T58)</f>
        <v>86483.2729563295</v>
      </c>
      <c r="U59">
        <f>+U58*(1-Probs_Hombres!U58)</f>
        <v>86483.298639344561</v>
      </c>
      <c r="V59">
        <f>+V58*(1-Probs_Hombres!V58)</f>
        <v>86483.316076443472</v>
      </c>
      <c r="W59">
        <f>+W58*(1-Probs_Hombres!W58)</f>
        <v>86483.327915108937</v>
      </c>
      <c r="X59">
        <f>+X58*(1-Probs_Hombres!X58)</f>
        <v>86483.335952802765</v>
      </c>
      <c r="Y59">
        <f>+Y58*(1-Probs_Hombres!Y58)</f>
        <v>86483.341409882691</v>
      </c>
      <c r="Z59">
        <f>+Z58*(1-Probs_Hombres!Z58)</f>
        <v>86483.345114891563</v>
      </c>
      <c r="AA59">
        <f>+AA58*(1-Probs_Hombres!AA58)</f>
        <v>86483.347630356337</v>
      </c>
      <c r="AB59">
        <f>+AB58*(1-Probs_Hombres!AB58)</f>
        <v>86483.349338196931</v>
      </c>
      <c r="AC59">
        <f>+AC58*(1-Probs_Hombres!AC58)</f>
        <v>86483.350497711974</v>
      </c>
      <c r="AD59">
        <f>+AD58*(1-Probs_Hombres!AD58)</f>
        <v>86483.351284948847</v>
      </c>
      <c r="AE59">
        <f>+AE58*(1-Probs_Hombres!AE58)</f>
        <v>86483.351819432792</v>
      </c>
      <c r="AF59">
        <f>+AF58*(1-Probs_Hombres!AF58)</f>
        <v>86483.352182313247</v>
      </c>
      <c r="AG59">
        <f>+AG58*(1-Probs_Hombres!AG58)</f>
        <v>86483.352428686107</v>
      </c>
      <c r="AH59">
        <f>+AH58*(1-Probs_Hombres!AH58)</f>
        <v>86483.352595957622</v>
      </c>
    </row>
    <row r="60" spans="1:34" x14ac:dyDescent="0.25">
      <c r="A60">
        <f>+Probs_Hombres!A60</f>
        <v>58</v>
      </c>
      <c r="B60">
        <f>+B59*(1-Probs_Hombres!B59)</f>
        <v>85768.009710110957</v>
      </c>
      <c r="C60">
        <f>+C59*(1-Probs_Hombres!C59)</f>
        <v>85796.351873468433</v>
      </c>
      <c r="D60">
        <f>+D59*(1-Probs_Hombres!D59)</f>
        <v>85815.552360055575</v>
      </c>
      <c r="E60">
        <f>+E59*(1-Probs_Hombres!E59)</f>
        <v>85828.56894229351</v>
      </c>
      <c r="F60">
        <f>+F59*(1-Probs_Hombres!F59)</f>
        <v>85837.39748109525</v>
      </c>
      <c r="G60">
        <f>+G59*(1-Probs_Hombres!G59)</f>
        <v>85843.387403478016</v>
      </c>
      <c r="H60">
        <f>+H59*(1-Probs_Hombres!H59)</f>
        <v>85847.452294361618</v>
      </c>
      <c r="I60">
        <f>+I59*(1-Probs_Hombres!I59)</f>
        <v>85850.211228205881</v>
      </c>
      <c r="J60">
        <f>+J59*(1-Probs_Hombres!J59)</f>
        <v>85852.083968670544</v>
      </c>
      <c r="K60">
        <f>+K59*(1-Probs_Hombres!K59)</f>
        <v>85853.355255976814</v>
      </c>
      <c r="L60">
        <f>+L59*(1-Probs_Hombres!L59)</f>
        <v>85854.218294262493</v>
      </c>
      <c r="M60">
        <f>+M59*(1-Probs_Hombres!M59)</f>
        <v>85854.804203237742</v>
      </c>
      <c r="N60">
        <f>+N59*(1-Probs_Hombres!N59)</f>
        <v>85855.201980144106</v>
      </c>
      <c r="O60">
        <f>+O59*(1-Probs_Hombres!O59)</f>
        <v>85855.472037065381</v>
      </c>
      <c r="P60">
        <f>+P59*(1-Probs_Hombres!P59)</f>
        <v>85855.655384719401</v>
      </c>
      <c r="Q60">
        <f>+Q59*(1-Probs_Hombres!Q59)</f>
        <v>85855.779864358687</v>
      </c>
      <c r="R60">
        <f>+R59*(1-Probs_Hombres!R59)</f>
        <v>85855.864377309612</v>
      </c>
      <c r="S60">
        <f>+S59*(1-Probs_Hombres!S59)</f>
        <v>85855.921755858071</v>
      </c>
      <c r="T60">
        <f>+T59*(1-Probs_Hombres!T59)</f>
        <v>85855.960712073604</v>
      </c>
      <c r="U60">
        <f>+U59*(1-Probs_Hombres!U59)</f>
        <v>85855.987160789009</v>
      </c>
      <c r="V60">
        <f>+V59*(1-Probs_Hombres!V59)</f>
        <v>85856.005117749577</v>
      </c>
      <c r="W60">
        <f>+W59*(1-Probs_Hombres!W59)</f>
        <v>85856.017309367977</v>
      </c>
      <c r="X60">
        <f>+X59*(1-Probs_Hombres!X59)</f>
        <v>85856.025586694363</v>
      </c>
      <c r="Y60">
        <f>+Y59*(1-Probs_Hombres!Y59)</f>
        <v>85856.031206469561</v>
      </c>
      <c r="Z60">
        <f>+Z59*(1-Probs_Hombres!Z59)</f>
        <v>85856.035021938165</v>
      </c>
      <c r="AA60">
        <f>+AA59*(1-Probs_Hombres!AA59)</f>
        <v>85856.037612398082</v>
      </c>
      <c r="AB60">
        <f>+AB59*(1-Probs_Hombres!AB59)</f>
        <v>85856.03937115561</v>
      </c>
      <c r="AC60">
        <f>+AC59*(1-Probs_Hombres!AC59)</f>
        <v>85856.040565240008</v>
      </c>
      <c r="AD60">
        <f>+AD59*(1-Probs_Hombres!AD59)</f>
        <v>85856.041375947287</v>
      </c>
      <c r="AE60">
        <f>+AE59*(1-Probs_Hombres!AE59)</f>
        <v>85856.041926366132</v>
      </c>
      <c r="AF60">
        <f>+AF59*(1-Probs_Hombres!AF59)</f>
        <v>85856.042300065368</v>
      </c>
      <c r="AG60">
        <f>+AG59*(1-Probs_Hombres!AG59)</f>
        <v>85856.042553783511</v>
      </c>
      <c r="AH60">
        <f>+AH59*(1-Probs_Hombres!AH59)</f>
        <v>85856.042726041997</v>
      </c>
    </row>
    <row r="61" spans="1:34" x14ac:dyDescent="0.25">
      <c r="A61">
        <f>+Probs_Hombres!A61</f>
        <v>59</v>
      </c>
      <c r="B61">
        <f>+B60*(1-Probs_Hombres!B60)</f>
        <v>85090.697430538203</v>
      </c>
      <c r="C61">
        <f>+C60*(1-Probs_Hombres!C60)</f>
        <v>85119.748292737815</v>
      </c>
      <c r="D61">
        <f>+D60*(1-Probs_Hombres!D60)</f>
        <v>85139.429894313304</v>
      </c>
      <c r="E61">
        <f>+E60*(1-Probs_Hombres!E60)</f>
        <v>85152.773100864099</v>
      </c>
      <c r="F61">
        <f>+F60*(1-Probs_Hombres!F60)</f>
        <v>85161.823386352873</v>
      </c>
      <c r="G61">
        <f>+G60*(1-Probs_Hombres!G60)</f>
        <v>85167.963855747425</v>
      </c>
      <c r="H61">
        <f>+H60*(1-Probs_Hombres!H60)</f>
        <v>85172.130956205176</v>
      </c>
      <c r="I61">
        <f>+I60*(1-Probs_Hombres!I60)</f>
        <v>85174.959282797354</v>
      </c>
      <c r="J61">
        <f>+J60*(1-Probs_Hombres!J60)</f>
        <v>85176.879136038537</v>
      </c>
      <c r="K61">
        <f>+K60*(1-Probs_Hombres!K60)</f>
        <v>85178.182409699992</v>
      </c>
      <c r="L61">
        <f>+L60*(1-Probs_Hombres!L60)</f>
        <v>85179.06716458383</v>
      </c>
      <c r="M61">
        <f>+M60*(1-Probs_Hombres!M60)</f>
        <v>85179.66781770112</v>
      </c>
      <c r="N61">
        <f>+N60*(1-Probs_Hombres!N60)</f>
        <v>85180.075604920843</v>
      </c>
      <c r="O61">
        <f>+O60*(1-Probs_Hombres!O60)</f>
        <v>85180.352458198598</v>
      </c>
      <c r="P61">
        <f>+P60*(1-Probs_Hombres!P60)</f>
        <v>85180.540420142119</v>
      </c>
      <c r="Q61">
        <f>+Q60*(1-Probs_Hombres!Q60)</f>
        <v>85180.668032588626</v>
      </c>
      <c r="R61">
        <f>+R60*(1-Probs_Hombres!R60)</f>
        <v>85180.754672515599</v>
      </c>
      <c r="S61">
        <f>+S60*(1-Probs_Hombres!S60)</f>
        <v>85180.813495145194</v>
      </c>
      <c r="T61">
        <f>+T60*(1-Probs_Hombres!T60)</f>
        <v>85180.853431799842</v>
      </c>
      <c r="U61">
        <f>+U60*(1-Probs_Hombres!U60)</f>
        <v>85180.880546171044</v>
      </c>
      <c r="V61">
        <f>+V60*(1-Probs_Hombres!V60)</f>
        <v>85180.898955069541</v>
      </c>
      <c r="W61">
        <f>+W60*(1-Probs_Hombres!W60)</f>
        <v>85180.911453525056</v>
      </c>
      <c r="X61">
        <f>+X60*(1-Probs_Hombres!X60)</f>
        <v>85180.919939174346</v>
      </c>
      <c r="Y61">
        <f>+Y60*(1-Probs_Hombres!Y60)</f>
        <v>85180.925700387554</v>
      </c>
      <c r="Z61">
        <f>+Z60*(1-Probs_Hombres!Z60)</f>
        <v>85180.929611883577</v>
      </c>
      <c r="AA61">
        <f>+AA60*(1-Probs_Hombres!AA60)</f>
        <v>85180.932267540018</v>
      </c>
      <c r="AB61">
        <f>+AB60*(1-Probs_Hombres!AB60)</f>
        <v>85180.934070561838</v>
      </c>
      <c r="AC61">
        <f>+AC60*(1-Probs_Hombres!AC60)</f>
        <v>85180.935294698866</v>
      </c>
      <c r="AD61">
        <f>+AD60*(1-Probs_Hombres!AD60)</f>
        <v>85180.936125809982</v>
      </c>
      <c r="AE61">
        <f>+AE60*(1-Probs_Hombres!AE60)</f>
        <v>85180.93669008174</v>
      </c>
      <c r="AF61">
        <f>+AF60*(1-Probs_Hombres!AF60)</f>
        <v>85180.937073186215</v>
      </c>
      <c r="AG61">
        <f>+AG60*(1-Probs_Hombres!AG60)</f>
        <v>85180.937333289927</v>
      </c>
      <c r="AH61">
        <f>+AH60*(1-Probs_Hombres!AH60)</f>
        <v>85180.937509883792</v>
      </c>
    </row>
    <row r="62" spans="1:34" x14ac:dyDescent="0.25">
      <c r="A62">
        <f>+Probs_Hombres!A62</f>
        <v>60</v>
      </c>
      <c r="B62">
        <f>+B61*(1-Probs_Hombres!B61)</f>
        <v>84365.115433767962</v>
      </c>
      <c r="C62">
        <f>+C61*(1-Probs_Hombres!C61)</f>
        <v>84394.984965793934</v>
      </c>
      <c r="D62">
        <f>+D61*(1-Probs_Hombres!D61)</f>
        <v>84415.222275550346</v>
      </c>
      <c r="E62">
        <f>+E61*(1-Probs_Hombres!E61)</f>
        <v>84428.942718072634</v>
      </c>
      <c r="F62">
        <f>+F61*(1-Probs_Hombres!F61)</f>
        <v>84438.249097405307</v>
      </c>
      <c r="G62">
        <f>+G61*(1-Probs_Hombres!G61)</f>
        <v>84444.563426454886</v>
      </c>
      <c r="H62">
        <f>+H61*(1-Probs_Hombres!H61)</f>
        <v>84448.848561110775</v>
      </c>
      <c r="I62">
        <f>+I61*(1-Probs_Hombres!I61)</f>
        <v>84451.757022898935</v>
      </c>
      <c r="J62">
        <f>+J61*(1-Probs_Hombres!J61)</f>
        <v>84453.731281680346</v>
      </c>
      <c r="K62">
        <f>+K61*(1-Probs_Hombres!K61)</f>
        <v>84455.071492708521</v>
      </c>
      <c r="L62">
        <f>+L61*(1-Probs_Hombres!L61)</f>
        <v>84455.981325469111</v>
      </c>
      <c r="M62">
        <f>+M61*(1-Probs_Hombres!M61)</f>
        <v>84456.599004756819</v>
      </c>
      <c r="N62">
        <f>+N61*(1-Probs_Hombres!N61)</f>
        <v>84457.018351611652</v>
      </c>
      <c r="O62">
        <f>+O61*(1-Probs_Hombres!O61)</f>
        <v>84457.303053122829</v>
      </c>
      <c r="P62">
        <f>+P61*(1-Probs_Hombres!P61)</f>
        <v>84457.49634350698</v>
      </c>
      <c r="Q62">
        <f>+Q61*(1-Probs_Hombres!Q61)</f>
        <v>84457.627573620965</v>
      </c>
      <c r="R62">
        <f>+R61*(1-Probs_Hombres!R61)</f>
        <v>84457.71666971191</v>
      </c>
      <c r="S62">
        <f>+S61*(1-Probs_Hombres!S61)</f>
        <v>84457.7771599197</v>
      </c>
      <c r="T62">
        <f>+T61*(1-Probs_Hombres!T61)</f>
        <v>84457.818228753473</v>
      </c>
      <c r="U62">
        <f>+U61*(1-Probs_Hombres!U61)</f>
        <v>84457.846111802137</v>
      </c>
      <c r="V62">
        <f>+V61*(1-Probs_Hombres!V61)</f>
        <v>84457.865042583697</v>
      </c>
      <c r="W62">
        <f>+W61*(1-Probs_Hombres!W61)</f>
        <v>84457.877895364596</v>
      </c>
      <c r="X62">
        <f>+X61*(1-Probs_Hombres!X61)</f>
        <v>84457.886621578291</v>
      </c>
      <c r="Y62">
        <f>+Y61*(1-Probs_Hombres!Y61)</f>
        <v>84457.89254611943</v>
      </c>
      <c r="Z62">
        <f>+Z61*(1-Probs_Hombres!Z61)</f>
        <v>84457.896568504744</v>
      </c>
      <c r="AA62">
        <f>+AA61*(1-Probs_Hombres!AA61)</f>
        <v>84457.899299447963</v>
      </c>
      <c r="AB62">
        <f>+AB61*(1-Probs_Hombres!AB61)</f>
        <v>84457.901153584709</v>
      </c>
      <c r="AC62">
        <f>+AC61*(1-Probs_Hombres!AC61)</f>
        <v>84457.902412425537</v>
      </c>
      <c r="AD62">
        <f>+AD61*(1-Probs_Hombres!AD61)</f>
        <v>84457.903267098314</v>
      </c>
      <c r="AE62">
        <f>+AE61*(1-Probs_Hombres!AE61)</f>
        <v>84457.903847366964</v>
      </c>
      <c r="AF62">
        <f>+AF61*(1-Probs_Hombres!AF61)</f>
        <v>84457.904241332304</v>
      </c>
      <c r="AG62">
        <f>+AG61*(1-Probs_Hombres!AG61)</f>
        <v>84457.90450880985</v>
      </c>
      <c r="AH62">
        <f>+AH61*(1-Probs_Hombres!AH61)</f>
        <v>84457.904690410069</v>
      </c>
    </row>
    <row r="63" spans="1:34" x14ac:dyDescent="0.25">
      <c r="A63">
        <f>+Probs_Hombres!A63</f>
        <v>61</v>
      </c>
      <c r="B63">
        <f>+B62*(1-Probs_Hombres!B62)</f>
        <v>83606.014358236498</v>
      </c>
      <c r="C63">
        <f>+C62*(1-Probs_Hombres!C62)</f>
        <v>83636.889972315985</v>
      </c>
      <c r="D63">
        <f>+D62*(1-Probs_Hombres!D62)</f>
        <v>83657.810026038482</v>
      </c>
      <c r="E63">
        <f>+E62*(1-Probs_Hombres!E62)</f>
        <v>83671.99385915522</v>
      </c>
      <c r="F63">
        <f>+F62*(1-Probs_Hombres!F62)</f>
        <v>83681.614782235396</v>
      </c>
      <c r="G63">
        <f>+G62*(1-Probs_Hombres!G62)</f>
        <v>83688.142634606949</v>
      </c>
      <c r="H63">
        <f>+H62*(1-Probs_Hombres!H62)</f>
        <v>83692.572723303485</v>
      </c>
      <c r="I63">
        <f>+I62*(1-Probs_Hombres!I62)</f>
        <v>83695.579592878421</v>
      </c>
      <c r="J63">
        <f>+J62*(1-Probs_Hombres!J62)</f>
        <v>83697.620661159075</v>
      </c>
      <c r="K63">
        <f>+K62*(1-Probs_Hombres!K62)</f>
        <v>83699.006230146348</v>
      </c>
      <c r="L63">
        <f>+L62*(1-Probs_Hombres!L62)</f>
        <v>83699.946857412491</v>
      </c>
      <c r="M63">
        <f>+M62*(1-Probs_Hombres!M62)</f>
        <v>83700.585443905482</v>
      </c>
      <c r="N63">
        <f>+N62*(1-Probs_Hombres!N62)</f>
        <v>83701.01898528263</v>
      </c>
      <c r="O63">
        <f>+O62*(1-Probs_Hombres!O62)</f>
        <v>83701.313323907263</v>
      </c>
      <c r="P63">
        <f>+P62*(1-Probs_Hombres!P62)</f>
        <v>83701.513157249021</v>
      </c>
      <c r="Q63">
        <f>+Q62*(1-Probs_Hombres!Q62)</f>
        <v>83701.648829601632</v>
      </c>
      <c r="R63">
        <f>+R62*(1-Probs_Hombres!R62)</f>
        <v>83701.740941683966</v>
      </c>
      <c r="S63">
        <f>+S62*(1-Probs_Hombres!S62)</f>
        <v>83701.803479555354</v>
      </c>
      <c r="T63">
        <f>+T62*(1-Probs_Hombres!T62)</f>
        <v>83701.845938621234</v>
      </c>
      <c r="U63">
        <f>+U62*(1-Probs_Hombres!U62)</f>
        <v>83701.874765548549</v>
      </c>
      <c r="V63">
        <f>+V62*(1-Probs_Hombres!V62)</f>
        <v>83701.894337163452</v>
      </c>
      <c r="W63">
        <f>+W62*(1-Probs_Hombres!W62)</f>
        <v>83701.907625029344</v>
      </c>
      <c r="X63">
        <f>+X62*(1-Probs_Hombres!X62)</f>
        <v>83701.916646638056</v>
      </c>
      <c r="Y63">
        <f>+Y62*(1-Probs_Hombres!Y62)</f>
        <v>83701.922771733603</v>
      </c>
      <c r="Z63">
        <f>+Z62*(1-Probs_Hombres!Z62)</f>
        <v>83701.926930282614</v>
      </c>
      <c r="AA63">
        <f>+AA62*(1-Probs_Hombres!AA62)</f>
        <v>83701.929753672317</v>
      </c>
      <c r="AB63">
        <f>+AB62*(1-Probs_Hombres!AB62)</f>
        <v>83701.931670574355</v>
      </c>
      <c r="AC63">
        <f>+AC62*(1-Probs_Hombres!AC62)</f>
        <v>83701.932972028822</v>
      </c>
      <c r="AD63">
        <f>+AD62*(1-Probs_Hombres!AD62)</f>
        <v>83701.933855633557</v>
      </c>
      <c r="AE63">
        <f>+AE62*(1-Probs_Hombres!AE62)</f>
        <v>83701.934455545168</v>
      </c>
      <c r="AF63">
        <f>+AF62*(1-Probs_Hombres!AF62)</f>
        <v>83701.934862846829</v>
      </c>
      <c r="AG63">
        <f>+AG62*(1-Probs_Hombres!AG62)</f>
        <v>83701.935139378897</v>
      </c>
      <c r="AH63">
        <f>+AH62*(1-Probs_Hombres!AH62)</f>
        <v>83701.935327126543</v>
      </c>
    </row>
    <row r="64" spans="1:34" x14ac:dyDescent="0.25">
      <c r="A64">
        <f>+Probs_Hombres!A64</f>
        <v>62</v>
      </c>
      <c r="B64">
        <f>+B63*(1-Probs_Hombres!B63)</f>
        <v>82818.506884754737</v>
      </c>
      <c r="C64">
        <f>+C63*(1-Probs_Hombres!C63)</f>
        <v>82850.265986393555</v>
      </c>
      <c r="D64">
        <f>+D63*(1-Probs_Hombres!D63)</f>
        <v>82871.785772394142</v>
      </c>
      <c r="E64">
        <f>+E63*(1-Probs_Hombres!E63)</f>
        <v>82886.376738767576</v>
      </c>
      <c r="F64">
        <f>+F63*(1-Probs_Hombres!F63)</f>
        <v>82896.274057574949</v>
      </c>
      <c r="G64">
        <f>+G63*(1-Probs_Hombres!G63)</f>
        <v>82902.989554905638</v>
      </c>
      <c r="H64">
        <f>+H63*(1-Probs_Hombres!H63)</f>
        <v>82907.547037887372</v>
      </c>
      <c r="I64">
        <f>+I63*(1-Probs_Hombres!I63)</f>
        <v>82910.640397903437</v>
      </c>
      <c r="J64">
        <f>+J63*(1-Probs_Hombres!J63)</f>
        <v>82912.740186688767</v>
      </c>
      <c r="K64">
        <f>+K63*(1-Probs_Hombres!K63)</f>
        <v>82914.165622701636</v>
      </c>
      <c r="L64">
        <f>+L63*(1-Probs_Hombres!L63)</f>
        <v>82915.13331693002</v>
      </c>
      <c r="M64">
        <f>+M63*(1-Probs_Hombres!M63)</f>
        <v>82915.790280071378</v>
      </c>
      <c r="N64">
        <f>+N63*(1-Probs_Hombres!N63)</f>
        <v>82916.236297979427</v>
      </c>
      <c r="O64">
        <f>+O63*(1-Probs_Hombres!O63)</f>
        <v>82916.539107354736</v>
      </c>
      <c r="P64">
        <f>+P63*(1-Probs_Hombres!P63)</f>
        <v>82916.744691788292</v>
      </c>
      <c r="Q64">
        <f>+Q63*(1-Probs_Hombres!Q63)</f>
        <v>82916.884268762326</v>
      </c>
      <c r="R64">
        <f>+R63*(1-Probs_Hombres!R63)</f>
        <v>82916.979031832481</v>
      </c>
      <c r="S64">
        <f>+S63*(1-Probs_Hombres!S63)</f>
        <v>82917.043369555206</v>
      </c>
      <c r="T64">
        <f>+T63*(1-Probs_Hombres!T63)</f>
        <v>82917.087050605347</v>
      </c>
      <c r="U64">
        <f>+U63*(1-Probs_Hombres!U63)</f>
        <v>82917.11670718214</v>
      </c>
      <c r="V64">
        <f>+V63*(1-Probs_Hombres!V63)</f>
        <v>82917.13684207623</v>
      </c>
      <c r="W64">
        <f>+W63*(1-Probs_Hombres!W63)</f>
        <v>82917.150512372857</v>
      </c>
      <c r="X64">
        <f>+X63*(1-Probs_Hombres!X63)</f>
        <v>82917.159793627725</v>
      </c>
      <c r="Y64">
        <f>+Y63*(1-Probs_Hombres!Y63)</f>
        <v>82917.166095006512</v>
      </c>
      <c r="Z64">
        <f>+Z63*(1-Probs_Hombres!Z63)</f>
        <v>82917.170373240631</v>
      </c>
      <c r="AA64">
        <f>+AA63*(1-Probs_Hombres!AA63)</f>
        <v>82917.173277888913</v>
      </c>
      <c r="AB64">
        <f>+AB63*(1-Probs_Hombres!AB63)</f>
        <v>82917.175249960361</v>
      </c>
      <c r="AC64">
        <f>+AC63*(1-Probs_Hombres!AC63)</f>
        <v>82917.176588871356</v>
      </c>
      <c r="AD64">
        <f>+AD63*(1-Probs_Hombres!AD63)</f>
        <v>82917.177497906698</v>
      </c>
      <c r="AE64">
        <f>+AE63*(1-Probs_Hombres!AE63)</f>
        <v>82917.178115084069</v>
      </c>
      <c r="AF64">
        <f>+AF63*(1-Probs_Hombres!AF63)</f>
        <v>82917.178534108098</v>
      </c>
      <c r="AG64">
        <f>+AG63*(1-Probs_Hombres!AG63)</f>
        <v>82917.178818598884</v>
      </c>
      <c r="AH64">
        <f>+AH63*(1-Probs_Hombres!AH63)</f>
        <v>82917.179011750006</v>
      </c>
    </row>
    <row r="65" spans="1:34" x14ac:dyDescent="0.25">
      <c r="A65">
        <f>+Probs_Hombres!A65</f>
        <v>63</v>
      </c>
      <c r="B65">
        <f>+B64*(1-Probs_Hombres!B64)</f>
        <v>81985.307067609407</v>
      </c>
      <c r="C65">
        <f>+C64*(1-Probs_Hombres!C64)</f>
        <v>82017.890609341339</v>
      </c>
      <c r="D65">
        <f>+D64*(1-Probs_Hombres!D64)</f>
        <v>82039.970174830101</v>
      </c>
      <c r="E65">
        <f>+E64*(1-Probs_Hombres!E64)</f>
        <v>82054.941211988451</v>
      </c>
      <c r="F65">
        <f>+F64*(1-Probs_Hombres!F64)</f>
        <v>82065.096581811071</v>
      </c>
      <c r="G65">
        <f>+G64*(1-Probs_Hombres!G64)</f>
        <v>82071.987282561575</v>
      </c>
      <c r="H65">
        <f>+H64*(1-Probs_Hombres!H64)</f>
        <v>82076.663718967349</v>
      </c>
      <c r="I65">
        <f>+I64*(1-Probs_Hombres!I64)</f>
        <v>82079.837841451968</v>
      </c>
      <c r="J65">
        <f>+J64*(1-Probs_Hombres!J64)</f>
        <v>82081.992463119474</v>
      </c>
      <c r="K65">
        <f>+K64*(1-Probs_Hombres!K64)</f>
        <v>82083.455127311652</v>
      </c>
      <c r="L65">
        <f>+L64*(1-Probs_Hombres!L64)</f>
        <v>82084.448097170956</v>
      </c>
      <c r="M65">
        <f>+M64*(1-Probs_Hombres!M64)</f>
        <v>82085.122220888516</v>
      </c>
      <c r="N65">
        <f>+N64*(1-Probs_Hombres!N64)</f>
        <v>82085.579889750705</v>
      </c>
      <c r="O65">
        <f>+O64*(1-Probs_Hombres!O64)</f>
        <v>82085.890609389709</v>
      </c>
      <c r="P65">
        <f>+P64*(1-Probs_Hombres!P64)</f>
        <v>82086.101564392549</v>
      </c>
      <c r="Q65">
        <f>+Q64*(1-Probs_Hombres!Q64)</f>
        <v>82086.244787643198</v>
      </c>
      <c r="R65">
        <f>+R64*(1-Probs_Hombres!R64)</f>
        <v>82086.34202630409</v>
      </c>
      <c r="S65">
        <f>+S64*(1-Probs_Hombres!S64)</f>
        <v>82086.408044795913</v>
      </c>
      <c r="T65">
        <f>+T64*(1-Probs_Hombres!T64)</f>
        <v>82086.452866981606</v>
      </c>
      <c r="U65">
        <f>+U64*(1-Probs_Hombres!U64)</f>
        <v>82086.48329831702</v>
      </c>
      <c r="V65">
        <f>+V64*(1-Probs_Hombres!V64)</f>
        <v>82086.503959222988</v>
      </c>
      <c r="W65">
        <f>+W64*(1-Probs_Hombres!W64)</f>
        <v>82086.517986648294</v>
      </c>
      <c r="X65">
        <f>+X64*(1-Probs_Hombres!X64)</f>
        <v>82086.527510370841</v>
      </c>
      <c r="Y65">
        <f>+Y64*(1-Probs_Hombres!Y64)</f>
        <v>82086.533976369785</v>
      </c>
      <c r="Z65">
        <f>+Z64*(1-Probs_Hombres!Z64)</f>
        <v>82086.538366370529</v>
      </c>
      <c r="AA65">
        <f>+AA64*(1-Probs_Hombres!AA64)</f>
        <v>82086.541346901242</v>
      </c>
      <c r="AB65">
        <f>+AB64*(1-Probs_Hombres!AB64)</f>
        <v>82086.543370492043</v>
      </c>
      <c r="AC65">
        <f>+AC64*(1-Probs_Hombres!AC64)</f>
        <v>82086.544744381405</v>
      </c>
      <c r="AD65">
        <f>+AD64*(1-Probs_Hombres!AD64)</f>
        <v>82086.545677164846</v>
      </c>
      <c r="AE65">
        <f>+AE64*(1-Probs_Hombres!AE64)</f>
        <v>82086.546310465652</v>
      </c>
      <c r="AF65">
        <f>+AF64*(1-Probs_Hombres!AF64)</f>
        <v>82086.54674043649</v>
      </c>
      <c r="AG65">
        <f>+AG64*(1-Probs_Hombres!AG64)</f>
        <v>82086.547032359449</v>
      </c>
      <c r="AH65">
        <f>+AH64*(1-Probs_Hombres!AH64)</f>
        <v>82086.547230556549</v>
      </c>
    </row>
    <row r="66" spans="1:34" x14ac:dyDescent="0.25">
      <c r="A66">
        <f>+Probs_Hombres!A66</f>
        <v>64</v>
      </c>
      <c r="B66">
        <f>+B65*(1-Probs_Hombres!B65)</f>
        <v>81101.42554763917</v>
      </c>
      <c r="C66">
        <f>+C65*(1-Probs_Hombres!C65)</f>
        <v>81135.169889964411</v>
      </c>
      <c r="D66">
        <f>+D65*(1-Probs_Hombres!D65)</f>
        <v>81158.037241455022</v>
      </c>
      <c r="E66">
        <f>+E65*(1-Probs_Hombres!E65)</f>
        <v>81173.542984939661</v>
      </c>
      <c r="F66">
        <f>+F65*(1-Probs_Hombres!F65)</f>
        <v>81184.061316773048</v>
      </c>
      <c r="G66">
        <f>+G65*(1-Probs_Hombres!G65)</f>
        <v>81191.198413479346</v>
      </c>
      <c r="H66">
        <f>+H65*(1-Probs_Hombres!H65)</f>
        <v>81196.042122215338</v>
      </c>
      <c r="I66">
        <f>+I65*(1-Probs_Hombres!I65)</f>
        <v>81199.329805120797</v>
      </c>
      <c r="J66">
        <f>+J65*(1-Probs_Hombres!J65)</f>
        <v>81201.561523932061</v>
      </c>
      <c r="K66">
        <f>+K65*(1-Probs_Hombres!K65)</f>
        <v>81203.076530725724</v>
      </c>
      <c r="L66">
        <f>+L65*(1-Probs_Hombres!L65)</f>
        <v>81204.105037212197</v>
      </c>
      <c r="M66">
        <f>+M65*(1-Probs_Hombres!M65)</f>
        <v>81204.803287731178</v>
      </c>
      <c r="N66">
        <f>+N65*(1-Probs_Hombres!N65)</f>
        <v>81205.277337015432</v>
      </c>
      <c r="O66">
        <f>+O65*(1-Probs_Hombres!O65)</f>
        <v>81205.599177854281</v>
      </c>
      <c r="P66">
        <f>+P65*(1-Probs_Hombres!P65)</f>
        <v>81205.817683414789</v>
      </c>
      <c r="Q66">
        <f>+Q65*(1-Probs_Hombres!Q65)</f>
        <v>81205.966033000339</v>
      </c>
      <c r="R66">
        <f>+R65*(1-Probs_Hombres!R65)</f>
        <v>81206.066752110462</v>
      </c>
      <c r="S66">
        <f>+S65*(1-Probs_Hombres!S65)</f>
        <v>81206.135133603209</v>
      </c>
      <c r="T66">
        <f>+T65*(1-Probs_Hombres!T65)</f>
        <v>81206.181560115016</v>
      </c>
      <c r="U66">
        <f>+U65*(1-Probs_Hombres!U65)</f>
        <v>81206.213080685295</v>
      </c>
      <c r="V66">
        <f>+V65*(1-Probs_Hombres!V65)</f>
        <v>81206.234481112246</v>
      </c>
      <c r="W66">
        <f>+W65*(1-Probs_Hombres!W65)</f>
        <v>81206.249010625179</v>
      </c>
      <c r="X66">
        <f>+X65*(1-Probs_Hombres!X65)</f>
        <v>81206.258875233267</v>
      </c>
      <c r="Y66">
        <f>+Y65*(1-Probs_Hombres!Y65)</f>
        <v>81206.265572671793</v>
      </c>
      <c r="Z66">
        <f>+Z65*(1-Probs_Hombres!Z65)</f>
        <v>81206.270119805311</v>
      </c>
      <c r="AA66">
        <f>+AA65*(1-Probs_Hombres!AA65)</f>
        <v>81206.273207019171</v>
      </c>
      <c r="AB66">
        <f>+AB65*(1-Probs_Hombres!AB65)</f>
        <v>81206.275303041068</v>
      </c>
      <c r="AC66">
        <f>+AC65*(1-Probs_Hombres!AC65)</f>
        <v>81206.276726106516</v>
      </c>
      <c r="AD66">
        <f>+AD65*(1-Probs_Hombres!AD65)</f>
        <v>81206.277692277421</v>
      </c>
      <c r="AE66">
        <f>+AE65*(1-Probs_Hombres!AE65)</f>
        <v>81206.278348246182</v>
      </c>
      <c r="AF66">
        <f>+AF65*(1-Probs_Hombres!AF65)</f>
        <v>81206.278793607125</v>
      </c>
      <c r="AG66">
        <f>+AG65*(1-Probs_Hombres!AG65)</f>
        <v>81206.279095978971</v>
      </c>
      <c r="AH66">
        <f>+AH65*(1-Probs_Hombres!AH65)</f>
        <v>81206.279301270217</v>
      </c>
    </row>
    <row r="67" spans="1:34" x14ac:dyDescent="0.25">
      <c r="A67">
        <f>+Probs_Hombres!A67</f>
        <v>65</v>
      </c>
      <c r="B67">
        <f>+B66*(1-Probs_Hombres!B66)</f>
        <v>80177.738571998663</v>
      </c>
      <c r="C67">
        <f>+C66*(1-Probs_Hombres!C66)</f>
        <v>80213.212359818601</v>
      </c>
      <c r="D67">
        <f>+D66*(1-Probs_Hombres!D66)</f>
        <v>80237.252642403575</v>
      </c>
      <c r="E67">
        <f>+E66*(1-Probs_Hombres!E66)</f>
        <v>80253.554153512741</v>
      </c>
      <c r="F67">
        <f>+F66*(1-Probs_Hombres!F66)</f>
        <v>80264.612494320696</v>
      </c>
      <c r="G67">
        <f>+G66*(1-Probs_Hombres!G66)</f>
        <v>80272.116099813604</v>
      </c>
      <c r="H67">
        <f>+H66*(1-Probs_Hombres!H66)</f>
        <v>80277.208588011854</v>
      </c>
      <c r="I67">
        <f>+I66*(1-Probs_Hombres!I66)</f>
        <v>80280.66515021502</v>
      </c>
      <c r="J67">
        <f>+J66*(1-Probs_Hombres!J66)</f>
        <v>80283.011515283215</v>
      </c>
      <c r="K67">
        <f>+K66*(1-Probs_Hombres!K66)</f>
        <v>80284.604354043142</v>
      </c>
      <c r="L67">
        <f>+L66*(1-Probs_Hombres!L66)</f>
        <v>80285.685700927424</v>
      </c>
      <c r="M67">
        <f>+M66*(1-Probs_Hombres!M66)</f>
        <v>80286.419825538149</v>
      </c>
      <c r="N67">
        <f>+N66*(1-Probs_Hombres!N66)</f>
        <v>80286.918230506984</v>
      </c>
      <c r="O67">
        <f>+O66*(1-Probs_Hombres!O66)</f>
        <v>80287.25660705725</v>
      </c>
      <c r="P67">
        <f>+P66*(1-Probs_Hombres!P66)</f>
        <v>80287.486339199517</v>
      </c>
      <c r="Q67">
        <f>+Q66*(1-Probs_Hombres!Q66)</f>
        <v>80287.642310867464</v>
      </c>
      <c r="R67">
        <f>+R66*(1-Probs_Hombres!R66)</f>
        <v>80287.748204862699</v>
      </c>
      <c r="S67">
        <f>+S66*(1-Probs_Hombres!S66)</f>
        <v>80287.820099762306</v>
      </c>
      <c r="T67">
        <f>+T66*(1-Probs_Hombres!T66)</f>
        <v>80287.86891164894</v>
      </c>
      <c r="U67">
        <f>+U66*(1-Probs_Hombres!U66)</f>
        <v>80287.902051734753</v>
      </c>
      <c r="V67">
        <f>+V66*(1-Probs_Hombres!V66)</f>
        <v>80287.924551708755</v>
      </c>
      <c r="W67">
        <f>+W66*(1-Probs_Hombres!W66)</f>
        <v>80287.939827743758</v>
      </c>
      <c r="X67">
        <f>+X66*(1-Probs_Hombres!X66)</f>
        <v>80287.950199192681</v>
      </c>
      <c r="Y67">
        <f>+Y66*(1-Probs_Hombres!Y66)</f>
        <v>80287.95724074381</v>
      </c>
      <c r="Z67">
        <f>+Z66*(1-Probs_Hombres!Z66)</f>
        <v>80287.962021507876</v>
      </c>
      <c r="AA67">
        <f>+AA66*(1-Probs_Hombres!AA66)</f>
        <v>80287.965267342006</v>
      </c>
      <c r="AB67">
        <f>+AB66*(1-Probs_Hombres!AB66)</f>
        <v>80287.967471056982</v>
      </c>
      <c r="AC67">
        <f>+AC66*(1-Probs_Hombres!AC66)</f>
        <v>80287.968967239183</v>
      </c>
      <c r="AD67">
        <f>+AD66*(1-Probs_Hombres!AD66)</f>
        <v>80287.96998305172</v>
      </c>
      <c r="AE67">
        <f>+AE66*(1-Probs_Hombres!AE66)</f>
        <v>80287.970672723983</v>
      </c>
      <c r="AF67">
        <f>+AF66*(1-Probs_Hombres!AF66)</f>
        <v>80287.971140967464</v>
      </c>
      <c r="AG67">
        <f>+AG66*(1-Probs_Hombres!AG66)</f>
        <v>80287.971458875109</v>
      </c>
      <c r="AH67">
        <f>+AH66*(1-Probs_Hombres!AH66)</f>
        <v>80287.971674714165</v>
      </c>
    </row>
    <row r="68" spans="1:34" x14ac:dyDescent="0.25">
      <c r="A68">
        <f>+Probs_Hombres!A68</f>
        <v>66</v>
      </c>
      <c r="B68">
        <f>+B67*(1-Probs_Hombres!B67)</f>
        <v>79217.702547313573</v>
      </c>
      <c r="C68">
        <f>+C67*(1-Probs_Hombres!C67)</f>
        <v>79255.126539992256</v>
      </c>
      <c r="D68">
        <f>+D67*(1-Probs_Hombres!D67)</f>
        <v>79280.489282756054</v>
      </c>
      <c r="E68">
        <f>+E67*(1-Probs_Hombres!E67)</f>
        <v>79297.687919852571</v>
      </c>
      <c r="F68">
        <f>+F67*(1-Probs_Hombres!F67)</f>
        <v>79309.355010703046</v>
      </c>
      <c r="G68">
        <f>+G67*(1-Probs_Hombres!G67)</f>
        <v>79317.271761321317</v>
      </c>
      <c r="H68">
        <f>+H67*(1-Probs_Hombres!H67)</f>
        <v>79322.644676202704</v>
      </c>
      <c r="I68">
        <f>+I67*(1-Probs_Hombres!I67)</f>
        <v>79326.291596832234</v>
      </c>
      <c r="J68">
        <f>+J67*(1-Probs_Hombres!J67)</f>
        <v>79328.76718774547</v>
      </c>
      <c r="K68">
        <f>+K67*(1-Probs_Hombres!K67)</f>
        <v>79330.447755529807</v>
      </c>
      <c r="L68">
        <f>+L67*(1-Probs_Hombres!L67)</f>
        <v>79331.588661568399</v>
      </c>
      <c r="M68">
        <f>+M67*(1-Probs_Hombres!M67)</f>
        <v>79332.363221549109</v>
      </c>
      <c r="N68">
        <f>+N67*(1-Probs_Hombres!N67)</f>
        <v>79332.889078868262</v>
      </c>
      <c r="O68">
        <f>+O67*(1-Probs_Hombres!O67)</f>
        <v>79333.246093498994</v>
      </c>
      <c r="P68">
        <f>+P67*(1-Probs_Hombres!P67)</f>
        <v>79333.488479565669</v>
      </c>
      <c r="Q68">
        <f>+Q67*(1-Probs_Hombres!Q67)</f>
        <v>79333.653042376056</v>
      </c>
      <c r="R68">
        <f>+R67*(1-Probs_Hombres!R67)</f>
        <v>79333.764769179732</v>
      </c>
      <c r="S68">
        <f>+S67*(1-Probs_Hombres!S67)</f>
        <v>79333.840624171164</v>
      </c>
      <c r="T68">
        <f>+T67*(1-Probs_Hombres!T67)</f>
        <v>79333.892124701859</v>
      </c>
      <c r="U68">
        <f>+U67*(1-Probs_Hombres!U67)</f>
        <v>79333.927090203098</v>
      </c>
      <c r="V68">
        <f>+V67*(1-Probs_Hombres!V67)</f>
        <v>79333.950829516762</v>
      </c>
      <c r="W68">
        <f>+W67*(1-Probs_Hombres!W67)</f>
        <v>79333.966946984016</v>
      </c>
      <c r="X68">
        <f>+X67*(1-Probs_Hombres!X67)</f>
        <v>79333.977889711663</v>
      </c>
      <c r="Y68">
        <f>+Y67*(1-Probs_Hombres!Y67)</f>
        <v>79333.985319124607</v>
      </c>
      <c r="Z68">
        <f>+Z67*(1-Probs_Hombres!Z67)</f>
        <v>79333.990363222154</v>
      </c>
      <c r="AA68">
        <f>+AA67*(1-Probs_Hombres!AA67)</f>
        <v>79333.993787842948</v>
      </c>
      <c r="AB68">
        <f>+AB67*(1-Probs_Hombres!AB67)</f>
        <v>79333.996112942696</v>
      </c>
      <c r="AC68">
        <f>+AC67*(1-Probs_Hombres!AC67)</f>
        <v>79333.997691537443</v>
      </c>
      <c r="AD68">
        <f>+AD67*(1-Probs_Hombres!AD67)</f>
        <v>79333.998763302865</v>
      </c>
      <c r="AE68">
        <f>+AE67*(1-Probs_Hombres!AE67)</f>
        <v>79333.999490963557</v>
      </c>
      <c r="AF68">
        <f>+AF67*(1-Probs_Hombres!AF67)</f>
        <v>79333.999984998794</v>
      </c>
      <c r="AG68">
        <f>+AG67*(1-Probs_Hombres!AG67)</f>
        <v>79334.000320417385</v>
      </c>
      <c r="AH68">
        <f>+AH67*(1-Probs_Hombres!AH67)</f>
        <v>79334.000548145268</v>
      </c>
    </row>
    <row r="69" spans="1:34" x14ac:dyDescent="0.25">
      <c r="A69">
        <f>+Probs_Hombres!A69</f>
        <v>67</v>
      </c>
      <c r="B69">
        <f>+B68*(1-Probs_Hombres!B68)</f>
        <v>78176.347435209507</v>
      </c>
      <c r="C69">
        <f>+C68*(1-Probs_Hombres!C68)</f>
        <v>78215.360699428187</v>
      </c>
      <c r="D69">
        <f>+D68*(1-Probs_Hombres!D68)</f>
        <v>78241.801821280445</v>
      </c>
      <c r="E69">
        <f>+E68*(1-Probs_Hombres!E68)</f>
        <v>78259.732315070942</v>
      </c>
      <c r="F69">
        <f>+F68*(1-Probs_Hombres!F68)</f>
        <v>78271.896154091199</v>
      </c>
      <c r="G69">
        <f>+G68*(1-Probs_Hombres!G68)</f>
        <v>78280.150102323416</v>
      </c>
      <c r="H69">
        <f>+H68*(1-Probs_Hombres!H68)</f>
        <v>78285.751923957301</v>
      </c>
      <c r="I69">
        <f>+I68*(1-Probs_Hombres!I68)</f>
        <v>78289.554244346189</v>
      </c>
      <c r="J69">
        <f>+J68*(1-Probs_Hombres!J68)</f>
        <v>78292.135335650266</v>
      </c>
      <c r="K69">
        <f>+K68*(1-Probs_Hombres!K68)</f>
        <v>78293.887528650564</v>
      </c>
      <c r="L69">
        <f>+L68*(1-Probs_Hombres!L68)</f>
        <v>78295.077062347613</v>
      </c>
      <c r="M69">
        <f>+M68*(1-Probs_Hombres!M68)</f>
        <v>78295.88463681376</v>
      </c>
      <c r="N69">
        <f>+N68*(1-Probs_Hombres!N68)</f>
        <v>78296.432908592004</v>
      </c>
      <c r="O69">
        <f>+O68*(1-Probs_Hombres!O68)</f>
        <v>78296.805141087738</v>
      </c>
      <c r="P69">
        <f>+P68*(1-Probs_Hombres!P68)</f>
        <v>78297.057859058608</v>
      </c>
      <c r="Q69">
        <f>+Q68*(1-Probs_Hombres!Q68)</f>
        <v>78297.229436548179</v>
      </c>
      <c r="R69">
        <f>+R68*(1-Probs_Hombres!R68)</f>
        <v>78297.345925860747</v>
      </c>
      <c r="S69">
        <f>+S68*(1-Probs_Hombres!S68)</f>
        <v>78297.425014287335</v>
      </c>
      <c r="T69">
        <f>+T68*(1-Probs_Hombres!T68)</f>
        <v>78297.478710112366</v>
      </c>
      <c r="U69">
        <f>+U68*(1-Probs_Hombres!U68)</f>
        <v>78297.515166077763</v>
      </c>
      <c r="V69">
        <f>+V68*(1-Probs_Hombres!V68)</f>
        <v>78297.539917321337</v>
      </c>
      <c r="W69">
        <f>+W68*(1-Probs_Hombres!W68)</f>
        <v>78297.556721824425</v>
      </c>
      <c r="X69">
        <f>+X68*(1-Probs_Hombres!X68)</f>
        <v>78297.568131005653</v>
      </c>
      <c r="Y69">
        <f>+Y68*(1-Probs_Hombres!Y68)</f>
        <v>78297.575877110881</v>
      </c>
      <c r="Z69">
        <f>+Z68*(1-Probs_Hombres!Z68)</f>
        <v>78297.581136222332</v>
      </c>
      <c r="AA69">
        <f>+AA68*(1-Probs_Hombres!AA68)</f>
        <v>78297.584706823895</v>
      </c>
      <c r="AB69">
        <f>+AB68*(1-Probs_Hombres!AB68)</f>
        <v>78297.58713103531</v>
      </c>
      <c r="AC69">
        <f>+AC68*(1-Probs_Hombres!AC68)</f>
        <v>78297.588776920573</v>
      </c>
      <c r="AD69">
        <f>+AD68*(1-Probs_Hombres!AD68)</f>
        <v>78297.58989437198</v>
      </c>
      <c r="AE69">
        <f>+AE68*(1-Probs_Hombres!AE68)</f>
        <v>78297.59065305056</v>
      </c>
      <c r="AF69">
        <f>+AF68*(1-Probs_Hombres!AF68)</f>
        <v>78297.591168144965</v>
      </c>
      <c r="AG69">
        <f>+AG68*(1-Probs_Hombres!AG68)</f>
        <v>78297.591517861394</v>
      </c>
      <c r="AH69">
        <f>+AH68*(1-Probs_Hombres!AH68)</f>
        <v>78297.591755296613</v>
      </c>
    </row>
    <row r="70" spans="1:34" x14ac:dyDescent="0.25">
      <c r="A70">
        <f>+Probs_Hombres!A70</f>
        <v>68</v>
      </c>
      <c r="B70">
        <f>+B69*(1-Probs_Hombres!B69)</f>
        <v>77023.960356110983</v>
      </c>
      <c r="C70">
        <f>+C69*(1-Probs_Hombres!C69)</f>
        <v>77064.010791906112</v>
      </c>
      <c r="D70">
        <f>+D69*(1-Probs_Hombres!D69)</f>
        <v>77091.156410439726</v>
      </c>
      <c r="E70">
        <f>+E69*(1-Probs_Hombres!E69)</f>
        <v>77109.565360013832</v>
      </c>
      <c r="F70">
        <f>+F69*(1-Probs_Hombres!F69)</f>
        <v>77122.054107502379</v>
      </c>
      <c r="G70">
        <f>+G69*(1-Probs_Hombres!G69)</f>
        <v>77130.528678846822</v>
      </c>
      <c r="H70">
        <f>+H69*(1-Probs_Hombres!H69)</f>
        <v>77136.280303753083</v>
      </c>
      <c r="I70">
        <f>+I69*(1-Probs_Hombres!I69)</f>
        <v>77140.184337574639</v>
      </c>
      <c r="J70">
        <f>+J69*(1-Probs_Hombres!J69)</f>
        <v>77142.834488841632</v>
      </c>
      <c r="K70">
        <f>+K69*(1-Probs_Hombres!K69)</f>
        <v>77144.633570552469</v>
      </c>
      <c r="L70">
        <f>+L69*(1-Probs_Hombres!L69)</f>
        <v>77145.854939342127</v>
      </c>
      <c r="M70">
        <f>+M69*(1-Probs_Hombres!M69)</f>
        <v>77146.684128107096</v>
      </c>
      <c r="N70">
        <f>+N69*(1-Probs_Hombres!N69)</f>
        <v>77147.247074756262</v>
      </c>
      <c r="O70">
        <f>+O69*(1-Probs_Hombres!O69)</f>
        <v>77147.629270619334</v>
      </c>
      <c r="P70">
        <f>+P69*(1-Probs_Hombres!P69)</f>
        <v>77147.888753112347</v>
      </c>
      <c r="Q70">
        <f>+Q69*(1-Probs_Hombres!Q69)</f>
        <v>77148.064923295911</v>
      </c>
      <c r="R70">
        <f>+R69*(1-Probs_Hombres!R69)</f>
        <v>77148.18453076201</v>
      </c>
      <c r="S70">
        <f>+S69*(1-Probs_Hombres!S69)</f>
        <v>77148.265736219546</v>
      </c>
      <c r="T70">
        <f>+T69*(1-Probs_Hombres!T69)</f>
        <v>77148.320869375384</v>
      </c>
      <c r="U70">
        <f>+U69*(1-Probs_Hombres!U69)</f>
        <v>77148.358301197673</v>
      </c>
      <c r="V70">
        <f>+V69*(1-Probs_Hombres!V69)</f>
        <v>77148.383714986354</v>
      </c>
      <c r="W70">
        <f>+W69*(1-Probs_Hombres!W69)</f>
        <v>77148.400969315611</v>
      </c>
      <c r="X70">
        <f>+X69*(1-Probs_Hombres!X69)</f>
        <v>77148.412683900271</v>
      </c>
      <c r="Y70">
        <f>+Y69*(1-Probs_Hombres!Y69)</f>
        <v>77148.42063735507</v>
      </c>
      <c r="Z70">
        <f>+Z69*(1-Probs_Hombres!Z69)</f>
        <v>77148.426037243698</v>
      </c>
      <c r="AA70">
        <f>+AA69*(1-Probs_Hombres!AA69)</f>
        <v>77148.42970342403</v>
      </c>
      <c r="AB70">
        <f>+AB69*(1-Probs_Hombres!AB69)</f>
        <v>77148.432192527369</v>
      </c>
      <c r="AC70">
        <f>+AC69*(1-Probs_Hombres!AC69)</f>
        <v>77148.433882470126</v>
      </c>
      <c r="AD70">
        <f>+AD69*(1-Probs_Hombres!AD69)</f>
        <v>77148.435029833781</v>
      </c>
      <c r="AE70">
        <f>+AE69*(1-Probs_Hombres!AE69)</f>
        <v>77148.435808820868</v>
      </c>
      <c r="AF70">
        <f>+AF69*(1-Probs_Hombres!AF69)</f>
        <v>77148.436337703446</v>
      </c>
      <c r="AG70">
        <f>+AG69*(1-Probs_Hombres!AG69)</f>
        <v>77148.43669678118</v>
      </c>
      <c r="AH70">
        <f>+AH69*(1-Probs_Hombres!AH69)</f>
        <v>77148.436940572137</v>
      </c>
    </row>
    <row r="71" spans="1:34" x14ac:dyDescent="0.25">
      <c r="A71">
        <f>+Probs_Hombres!A71</f>
        <v>69</v>
      </c>
      <c r="B71">
        <f>+B70*(1-Probs_Hombres!B70)</f>
        <v>75765.92144867561</v>
      </c>
      <c r="C71">
        <f>+C70*(1-Probs_Hombres!C70)</f>
        <v>75806.949794580389</v>
      </c>
      <c r="D71">
        <f>+D70*(1-Probs_Hombres!D70)</f>
        <v>75834.759873041054</v>
      </c>
      <c r="E71">
        <f>+E70*(1-Probs_Hombres!E70)</f>
        <v>75853.620187140128</v>
      </c>
      <c r="F71">
        <f>+F70*(1-Probs_Hombres!F70)</f>
        <v>75866.41549183293</v>
      </c>
      <c r="G71">
        <f>+G70*(1-Probs_Hombres!G70)</f>
        <v>75875.098246285794</v>
      </c>
      <c r="H71">
        <f>+H70*(1-Probs_Hombres!H70)</f>
        <v>75880.991237402661</v>
      </c>
      <c r="I71">
        <f>+I70*(1-Probs_Hombres!I70)</f>
        <v>75884.991260534109</v>
      </c>
      <c r="J71">
        <f>+J70*(1-Probs_Hombres!J70)</f>
        <v>75887.706587340712</v>
      </c>
      <c r="K71">
        <f>+K70*(1-Probs_Hombres!K70)</f>
        <v>75889.549921357626</v>
      </c>
      <c r="L71">
        <f>+L70*(1-Probs_Hombres!L70)</f>
        <v>75890.801335690761</v>
      </c>
      <c r="M71">
        <f>+M70*(1-Probs_Hombres!M70)</f>
        <v>75891.65092394971</v>
      </c>
      <c r="N71">
        <f>+N70*(1-Probs_Hombres!N70)</f>
        <v>75892.227720779876</v>
      </c>
      <c r="O71">
        <f>+O70*(1-Probs_Hombres!O70)</f>
        <v>75892.619320137615</v>
      </c>
      <c r="P71">
        <f>+P70*(1-Probs_Hombres!P70)</f>
        <v>75892.885187052918</v>
      </c>
      <c r="Q71">
        <f>+Q70*(1-Probs_Hombres!Q70)</f>
        <v>75893.065691875221</v>
      </c>
      <c r="R71">
        <f>+R70*(1-Probs_Hombres!R70)</f>
        <v>75893.188242295553</v>
      </c>
      <c r="S71">
        <f>+S70*(1-Probs_Hombres!S70)</f>
        <v>75893.271445836639</v>
      </c>
      <c r="T71">
        <f>+T70*(1-Probs_Hombres!T70)</f>
        <v>75893.327935566369</v>
      </c>
      <c r="U71">
        <f>+U70*(1-Probs_Hombres!U70)</f>
        <v>75893.366288417121</v>
      </c>
      <c r="V71">
        <f>+V70*(1-Probs_Hombres!V70)</f>
        <v>75893.39232752606</v>
      </c>
      <c r="W71">
        <f>+W70*(1-Probs_Hombres!W70)</f>
        <v>75893.41000640826</v>
      </c>
      <c r="X71">
        <f>+X70*(1-Probs_Hombres!X70)</f>
        <v>75893.422009237474</v>
      </c>
      <c r="Y71">
        <f>+Y70*(1-Probs_Hombres!Y70)</f>
        <v>75893.430158392061</v>
      </c>
      <c r="Z71">
        <f>+Z70*(1-Probs_Hombres!Z70)</f>
        <v>75893.435691148436</v>
      </c>
      <c r="AA71">
        <f>+AA70*(1-Probs_Hombres!AA70)</f>
        <v>75893.43944753753</v>
      </c>
      <c r="AB71">
        <f>+AB70*(1-Probs_Hombres!AB70)</f>
        <v>75893.441997886897</v>
      </c>
      <c r="AC71">
        <f>+AC70*(1-Probs_Hombres!AC70)</f>
        <v>75893.443729411811</v>
      </c>
      <c r="AD71">
        <f>+AD70*(1-Probs_Hombres!AD70)</f>
        <v>75893.444905007113</v>
      </c>
      <c r="AE71">
        <f>+AE70*(1-Probs_Hombres!AE70)</f>
        <v>75893.445703161706</v>
      </c>
      <c r="AF71">
        <f>+AF70*(1-Probs_Hombres!AF70)</f>
        <v>75893.446245057785</v>
      </c>
      <c r="AG71">
        <f>+AG70*(1-Probs_Hombres!AG70)</f>
        <v>75893.446612970874</v>
      </c>
      <c r="AH71">
        <f>+AH70*(1-Probs_Hombres!AH70)</f>
        <v>75893.446862760466</v>
      </c>
    </row>
    <row r="72" spans="1:34" x14ac:dyDescent="0.25">
      <c r="A72">
        <f>+Probs_Hombres!A72</f>
        <v>70</v>
      </c>
      <c r="B72">
        <f>+B71*(1-Probs_Hombres!B71)</f>
        <v>74425.678927013229</v>
      </c>
      <c r="C72">
        <f>+C71*(1-Probs_Hombres!C71)</f>
        <v>74467.962817860069</v>
      </c>
      <c r="D72">
        <f>+D71*(1-Probs_Hombres!D71)</f>
        <v>74496.625703367943</v>
      </c>
      <c r="E72">
        <f>+E71*(1-Probs_Hombres!E71)</f>
        <v>74516.065188682391</v>
      </c>
      <c r="F72">
        <f>+F71*(1-Probs_Hombres!F71)</f>
        <v>74529.253791310082</v>
      </c>
      <c r="G72">
        <f>+G71*(1-Probs_Hombres!G71)</f>
        <v>74538.203605594215</v>
      </c>
      <c r="H72">
        <f>+H71*(1-Probs_Hombres!H71)</f>
        <v>74544.277929682808</v>
      </c>
      <c r="I72">
        <f>+I71*(1-Probs_Hombres!I71)</f>
        <v>74548.401073882327</v>
      </c>
      <c r="J72">
        <f>+J71*(1-Probs_Hombres!J71)</f>
        <v>74551.199995523551</v>
      </c>
      <c r="K72">
        <f>+K71*(1-Probs_Hombres!K71)</f>
        <v>74553.100086711318</v>
      </c>
      <c r="L72">
        <f>+L71*(1-Probs_Hombres!L71)</f>
        <v>74554.390036289449</v>
      </c>
      <c r="M72">
        <f>+M71*(1-Probs_Hombres!M71)</f>
        <v>74555.265787868659</v>
      </c>
      <c r="N72">
        <f>+N71*(1-Probs_Hombres!N71)</f>
        <v>74555.860348086411</v>
      </c>
      <c r="O72">
        <f>+O71*(1-Probs_Hombres!O71)</f>
        <v>74556.264007727354</v>
      </c>
      <c r="P72">
        <f>+P71*(1-Probs_Hombres!P71)</f>
        <v>74556.538062841704</v>
      </c>
      <c r="Q72">
        <f>+Q71*(1-Probs_Hombres!Q71)</f>
        <v>74556.724126946137</v>
      </c>
      <c r="R72">
        <f>+R71*(1-Probs_Hombres!R71)</f>
        <v>74556.850451772858</v>
      </c>
      <c r="S72">
        <f>+S71*(1-Probs_Hombres!S71)</f>
        <v>74556.936217899289</v>
      </c>
      <c r="T72">
        <f>+T71*(1-Probs_Hombres!T71)</f>
        <v>74556.994447463148</v>
      </c>
      <c r="U72">
        <f>+U71*(1-Probs_Hombres!U71)</f>
        <v>74557.033981551431</v>
      </c>
      <c r="V72">
        <f>+V71*(1-Probs_Hombres!V71)</f>
        <v>74557.060822645901</v>
      </c>
      <c r="W72">
        <f>+W71*(1-Probs_Hombres!W71)</f>
        <v>74557.079046025494</v>
      </c>
      <c r="X72">
        <f>+X71*(1-Probs_Hombres!X71)</f>
        <v>74557.091418533892</v>
      </c>
      <c r="Y72">
        <f>+Y71*(1-Probs_Hombres!Y71)</f>
        <v>74557.09981867719</v>
      </c>
      <c r="Z72">
        <f>+Z71*(1-Probs_Hombres!Z71)</f>
        <v>74557.105521838967</v>
      </c>
      <c r="AA72">
        <f>+AA71*(1-Probs_Hombres!AA71)</f>
        <v>74557.109393922525</v>
      </c>
      <c r="AB72">
        <f>+AB71*(1-Probs_Hombres!AB71)</f>
        <v>74557.112022821064</v>
      </c>
      <c r="AC72">
        <f>+AC71*(1-Probs_Hombres!AC71)</f>
        <v>74557.113807675894</v>
      </c>
      <c r="AD72">
        <f>+AD71*(1-Probs_Hombres!AD71)</f>
        <v>74557.115019478806</v>
      </c>
      <c r="AE72">
        <f>+AE71*(1-Probs_Hombres!AE71)</f>
        <v>74557.115842216066</v>
      </c>
      <c r="AF72">
        <f>+AF71*(1-Probs_Hombres!AF71)</f>
        <v>74557.116400802217</v>
      </c>
      <c r="AG72">
        <f>+AG71*(1-Probs_Hombres!AG71)</f>
        <v>74557.116780046825</v>
      </c>
      <c r="AH72">
        <f>+AH71*(1-Probs_Hombres!AH71)</f>
        <v>74557.117037529781</v>
      </c>
    </row>
    <row r="73" spans="1:34" x14ac:dyDescent="0.25">
      <c r="A73">
        <f>+Probs_Hombres!A73</f>
        <v>71</v>
      </c>
      <c r="B73">
        <f>+B72*(1-Probs_Hombres!B72)</f>
        <v>72980.119726923149</v>
      </c>
      <c r="C73">
        <f>+C72*(1-Probs_Hombres!C72)</f>
        <v>73023.804912782289</v>
      </c>
      <c r="D73">
        <f>+D72*(1-Probs_Hombres!D72)</f>
        <v>73053.419574021536</v>
      </c>
      <c r="E73">
        <f>+E72*(1-Probs_Hombres!E72)</f>
        <v>73073.505430071644</v>
      </c>
      <c r="F73">
        <f>+F72*(1-Probs_Hombres!F72)</f>
        <v>73087.132957569556</v>
      </c>
      <c r="G73">
        <f>+G72*(1-Probs_Hombres!G72)</f>
        <v>73096.380810712479</v>
      </c>
      <c r="H73">
        <f>+H72*(1-Probs_Hombres!H72)</f>
        <v>73102.657501127964</v>
      </c>
      <c r="I73">
        <f>+I72*(1-Probs_Hombres!I72)</f>
        <v>73106.918046965133</v>
      </c>
      <c r="J73">
        <f>+J72*(1-Probs_Hombres!J72)</f>
        <v>73109.810259158563</v>
      </c>
      <c r="K73">
        <f>+K72*(1-Probs_Hombres!K72)</f>
        <v>73111.773690347662</v>
      </c>
      <c r="L73">
        <f>+L72*(1-Probs_Hombres!L72)</f>
        <v>73113.106644519401</v>
      </c>
      <c r="M73">
        <f>+M72*(1-Probs_Hombres!M72)</f>
        <v>73114.011593834119</v>
      </c>
      <c r="N73">
        <f>+N72*(1-Probs_Hombres!N72)</f>
        <v>73114.6259776199</v>
      </c>
      <c r="O73">
        <f>+O72*(1-Probs_Hombres!O72)</f>
        <v>73115.043096278096</v>
      </c>
      <c r="P73">
        <f>+P72*(1-Probs_Hombres!P72)</f>
        <v>73115.326289244185</v>
      </c>
      <c r="Q73">
        <f>+Q72*(1-Probs_Hombres!Q72)</f>
        <v>73115.518557385105</v>
      </c>
      <c r="R73">
        <f>+R72*(1-Probs_Hombres!R72)</f>
        <v>73115.649094365683</v>
      </c>
      <c r="S73">
        <f>+S72*(1-Probs_Hombres!S72)</f>
        <v>73115.737720280289</v>
      </c>
      <c r="T73">
        <f>+T72*(1-Probs_Hombres!T72)</f>
        <v>73115.79789146017</v>
      </c>
      <c r="U73">
        <f>+U72*(1-Probs_Hombres!U72)</f>
        <v>73115.838743783097</v>
      </c>
      <c r="V73">
        <f>+V72*(1-Probs_Hombres!V72)</f>
        <v>73115.866479875447</v>
      </c>
      <c r="W73">
        <f>+W72*(1-Probs_Hombres!W72)</f>
        <v>73115.885310901896</v>
      </c>
      <c r="X73">
        <f>+X72*(1-Probs_Hombres!X72)</f>
        <v>73115.898095963974</v>
      </c>
      <c r="Y73">
        <f>+Y72*(1-Probs_Hombres!Y72)</f>
        <v>73115.90677620504</v>
      </c>
      <c r="Z73">
        <f>+Z72*(1-Probs_Hombres!Z72)</f>
        <v>73115.912669535421</v>
      </c>
      <c r="AA73">
        <f>+AA72*(1-Probs_Hombres!AA72)</f>
        <v>73115.916670731385</v>
      </c>
      <c r="AB73">
        <f>+AB72*(1-Probs_Hombres!AB72)</f>
        <v>73115.919387289032</v>
      </c>
      <c r="AC73">
        <f>+AC72*(1-Probs_Hombres!AC72)</f>
        <v>73115.921231658838</v>
      </c>
      <c r="AD73">
        <f>+AD72*(1-Probs_Hombres!AD72)</f>
        <v>73115.92248386865</v>
      </c>
      <c r="AE73">
        <f>+AE72*(1-Probs_Hombres!AE72)</f>
        <v>73115.923334039617</v>
      </c>
      <c r="AF73">
        <f>+AF72*(1-Probs_Hombres!AF72)</f>
        <v>73115.923911251506</v>
      </c>
      <c r="AG73">
        <f>+AG72*(1-Probs_Hombres!AG72)</f>
        <v>73115.924303141815</v>
      </c>
      <c r="AH73">
        <f>+AH72*(1-Probs_Hombres!AH72)</f>
        <v>73115.924569210401</v>
      </c>
    </row>
    <row r="74" spans="1:34" x14ac:dyDescent="0.25">
      <c r="A74">
        <f>+Probs_Hombres!A74</f>
        <v>72</v>
      </c>
      <c r="B74">
        <f>+B73*(1-Probs_Hombres!B73)</f>
        <v>71383.340775535602</v>
      </c>
      <c r="C74">
        <f>+C73*(1-Probs_Hombres!C73)</f>
        <v>71427.976278108836</v>
      </c>
      <c r="D74">
        <f>+D73*(1-Probs_Hombres!D73)</f>
        <v>71458.237139723293</v>
      </c>
      <c r="E74">
        <f>+E73*(1-Probs_Hombres!E73)</f>
        <v>71478.762181551574</v>
      </c>
      <c r="F74">
        <f>+F73*(1-Probs_Hombres!F73)</f>
        <v>71492.688098158993</v>
      </c>
      <c r="G74">
        <f>+G73*(1-Probs_Hombres!G73)</f>
        <v>71502.138635075651</v>
      </c>
      <c r="H74">
        <f>+H73*(1-Probs_Hombres!H73)</f>
        <v>71508.552979323504</v>
      </c>
      <c r="I74">
        <f>+I73*(1-Probs_Hombres!I73)</f>
        <v>71512.90700382521</v>
      </c>
      <c r="J74">
        <f>+J73*(1-Probs_Hombres!J73)</f>
        <v>71515.862691516435</v>
      </c>
      <c r="K74">
        <f>+K73*(1-Probs_Hombres!K73)</f>
        <v>71517.869222877518</v>
      </c>
      <c r="L74">
        <f>+L73*(1-Probs_Hombres!L73)</f>
        <v>71519.231441328433</v>
      </c>
      <c r="M74">
        <f>+M73*(1-Probs_Hombres!M73)</f>
        <v>71520.156260151474</v>
      </c>
      <c r="N74">
        <f>+N73*(1-Probs_Hombres!N73)</f>
        <v>71520.784134495974</v>
      </c>
      <c r="O74">
        <f>+O73*(1-Probs_Hombres!O73)</f>
        <v>71521.21041258231</v>
      </c>
      <c r="P74">
        <f>+P73*(1-Probs_Hombres!P73)</f>
        <v>71521.499824308426</v>
      </c>
      <c r="Q74">
        <f>+Q73*(1-Probs_Hombres!Q73)</f>
        <v>71521.696314633911</v>
      </c>
      <c r="R74">
        <f>+R73*(1-Probs_Hombres!R73)</f>
        <v>71521.82971822875</v>
      </c>
      <c r="S74">
        <f>+S73*(1-Probs_Hombres!S73)</f>
        <v>71521.920290401133</v>
      </c>
      <c r="T74">
        <f>+T73*(1-Probs_Hombres!T73)</f>
        <v>71521.981782970484</v>
      </c>
      <c r="U74">
        <f>+U73*(1-Probs_Hombres!U73)</f>
        <v>71522.023532434774</v>
      </c>
      <c r="V74">
        <f>+V73*(1-Probs_Hombres!V73)</f>
        <v>71522.051877629972</v>
      </c>
      <c r="W74">
        <f>+W73*(1-Probs_Hombres!W73)</f>
        <v>71522.071122198962</v>
      </c>
      <c r="X74">
        <f>+X73*(1-Probs_Hombres!X73)</f>
        <v>71522.084188030334</v>
      </c>
      <c r="Y74">
        <f>+Y73*(1-Probs_Hombres!Y73)</f>
        <v>71522.093058895989</v>
      </c>
      <c r="Z74">
        <f>+Z73*(1-Probs_Hombres!Z73)</f>
        <v>71522.099081648412</v>
      </c>
      <c r="AA74">
        <f>+AA73*(1-Probs_Hombres!AA73)</f>
        <v>71522.10317071373</v>
      </c>
      <c r="AB74">
        <f>+AB73*(1-Probs_Hombres!AB73)</f>
        <v>71522.105946929078</v>
      </c>
      <c r="AC74">
        <f>+AC73*(1-Probs_Hombres!AC73)</f>
        <v>71522.107831802699</v>
      </c>
      <c r="AD74">
        <f>+AD73*(1-Probs_Hombres!AD73)</f>
        <v>71522.109111512022</v>
      </c>
      <c r="AE74">
        <f>+AE73*(1-Probs_Hombres!AE73)</f>
        <v>71522.109980353402</v>
      </c>
      <c r="AF74">
        <f>+AF73*(1-Probs_Hombres!AF73)</f>
        <v>71522.110570241333</v>
      </c>
      <c r="AG74">
        <f>+AG73*(1-Probs_Hombres!AG73)</f>
        <v>71522.110970737849</v>
      </c>
      <c r="AH74">
        <f>+AH73*(1-Probs_Hombres!AH73)</f>
        <v>71522.111242649509</v>
      </c>
    </row>
    <row r="75" spans="1:34" x14ac:dyDescent="0.25">
      <c r="A75">
        <f>+Probs_Hombres!A75</f>
        <v>73</v>
      </c>
      <c r="B75">
        <f>+B74*(1-Probs_Hombres!B74)</f>
        <v>69601.834571473941</v>
      </c>
      <c r="C75">
        <f>+C74*(1-Probs_Hombres!C74)</f>
        <v>69646.827107673365</v>
      </c>
      <c r="D75">
        <f>+D74*(1-Probs_Hombres!D74)</f>
        <v>69677.331828624447</v>
      </c>
      <c r="E75">
        <f>+E74*(1-Probs_Hombres!E74)</f>
        <v>69698.023104725871</v>
      </c>
      <c r="F75">
        <f>+F74*(1-Probs_Hombres!F74)</f>
        <v>69712.062191737699</v>
      </c>
      <c r="G75">
        <f>+G74*(1-Probs_Hombres!G74)</f>
        <v>69721.58970590301</v>
      </c>
      <c r="H75">
        <f>+H74*(1-Probs_Hombres!H74)</f>
        <v>69728.056378085312</v>
      </c>
      <c r="I75">
        <f>+I74*(1-Probs_Hombres!I74)</f>
        <v>69732.445959999241</v>
      </c>
      <c r="J75">
        <f>+J74*(1-Probs_Hombres!J74)</f>
        <v>69735.425802769023</v>
      </c>
      <c r="K75">
        <f>+K74*(1-Probs_Hombres!K74)</f>
        <v>69737.448740278342</v>
      </c>
      <c r="L75">
        <f>+L74*(1-Probs_Hombres!L74)</f>
        <v>69738.822100403995</v>
      </c>
      <c r="M75">
        <f>+M74*(1-Probs_Hombres!M74)</f>
        <v>69739.754485072437</v>
      </c>
      <c r="N75">
        <f>+N74*(1-Probs_Hombres!N74)</f>
        <v>69740.387496770345</v>
      </c>
      <c r="O75">
        <f>+O74*(1-Probs_Hombres!O74)</f>
        <v>69740.81726308135</v>
      </c>
      <c r="P75">
        <f>+P74*(1-Probs_Hombres!P74)</f>
        <v>69741.109043223201</v>
      </c>
      <c r="Q75">
        <f>+Q74*(1-Probs_Hombres!Q74)</f>
        <v>69741.30714161371</v>
      </c>
      <c r="R75">
        <f>+R74*(1-Probs_Hombres!R74)</f>
        <v>69741.441637010736</v>
      </c>
      <c r="S75">
        <f>+S74*(1-Probs_Hombres!S74)</f>
        <v>69741.53295046046</v>
      </c>
      <c r="T75">
        <f>+T74*(1-Probs_Hombres!T74)</f>
        <v>69741.594946316007</v>
      </c>
      <c r="U75">
        <f>+U74*(1-Probs_Hombres!U74)</f>
        <v>69741.637037482418</v>
      </c>
      <c r="V75">
        <f>+V74*(1-Probs_Hombres!V74)</f>
        <v>69741.665614672922</v>
      </c>
      <c r="W75">
        <f>+W74*(1-Probs_Hombres!W74)</f>
        <v>69741.68501675257</v>
      </c>
      <c r="X75">
        <f>+X74*(1-Probs_Hombres!X74)</f>
        <v>69741.698189523944</v>
      </c>
      <c r="Y75">
        <f>+Y74*(1-Probs_Hombres!Y74)</f>
        <v>69741.707132995187</v>
      </c>
      <c r="Z75">
        <f>+Z74*(1-Probs_Hombres!Z74)</f>
        <v>69741.713205042252</v>
      </c>
      <c r="AA75">
        <f>+AA74*(1-Probs_Hombres!AA74)</f>
        <v>69741.717327575519</v>
      </c>
      <c r="AB75">
        <f>+AB74*(1-Probs_Hombres!AB74)</f>
        <v>69741.720126513494</v>
      </c>
      <c r="AC75">
        <f>+AC74*(1-Probs_Hombres!AC74)</f>
        <v>69741.722026814343</v>
      </c>
      <c r="AD75">
        <f>+AD74*(1-Probs_Hombres!AD74)</f>
        <v>69741.723316997784</v>
      </c>
      <c r="AE75">
        <f>+AE74*(1-Probs_Hombres!AE74)</f>
        <v>69741.724192950423</v>
      </c>
      <c r="AF75">
        <f>+AF74*(1-Probs_Hombres!AF74)</f>
        <v>69741.724787666448</v>
      </c>
      <c r="AG75">
        <f>+AG74*(1-Probs_Hombres!AG74)</f>
        <v>69741.725191440928</v>
      </c>
      <c r="AH75">
        <f>+AH74*(1-Probs_Hombres!AH74)</f>
        <v>69741.725465578114</v>
      </c>
    </row>
    <row r="76" spans="1:34" x14ac:dyDescent="0.25">
      <c r="A76">
        <f>+Probs_Hombres!A76</f>
        <v>74</v>
      </c>
      <c r="B76">
        <f>+B75*(1-Probs_Hombres!B75)</f>
        <v>67672.845083936831</v>
      </c>
      <c r="C76">
        <f>+C75*(1-Probs_Hombres!C75)</f>
        <v>67717.788902267857</v>
      </c>
      <c r="D76">
        <f>+D75*(1-Probs_Hombres!D75)</f>
        <v>67748.262183598606</v>
      </c>
      <c r="E76">
        <f>+E75*(1-Probs_Hombres!E75)</f>
        <v>67768.932866879069</v>
      </c>
      <c r="F76">
        <f>+F75*(1-Probs_Hombres!F75)</f>
        <v>67782.958319074722</v>
      </c>
      <c r="G76">
        <f>+G75*(1-Probs_Hombres!G75)</f>
        <v>67792.476735568707</v>
      </c>
      <c r="H76">
        <f>+H75*(1-Probs_Hombres!H75)</f>
        <v>67798.937304479725</v>
      </c>
      <c r="I76">
        <f>+I75*(1-Probs_Hombres!I75)</f>
        <v>67803.322776509463</v>
      </c>
      <c r="J76">
        <f>+J75*(1-Probs_Hombres!J75)</f>
        <v>67806.299844526715</v>
      </c>
      <c r="K76">
        <f>+K75*(1-Probs_Hombres!K75)</f>
        <v>67808.320905343528</v>
      </c>
      <c r="L76">
        <f>+L75*(1-Probs_Hombres!L75)</f>
        <v>67809.692994627112</v>
      </c>
      <c r="M76">
        <f>+M75*(1-Probs_Hombres!M75)</f>
        <v>67810.624518001481</v>
      </c>
      <c r="N76">
        <f>+N75*(1-Probs_Hombres!N75)</f>
        <v>67811.256945639223</v>
      </c>
      <c r="O76">
        <f>+O75*(1-Probs_Hombres!O75)</f>
        <v>67811.686315734885</v>
      </c>
      <c r="P76">
        <f>+P75*(1-Probs_Hombres!P75)</f>
        <v>67811.977827021226</v>
      </c>
      <c r="Q76">
        <f>+Q75*(1-Probs_Hombres!Q75)</f>
        <v>67812.175742944863</v>
      </c>
      <c r="R76">
        <f>+R75*(1-Probs_Hombres!R75)</f>
        <v>67812.310114490232</v>
      </c>
      <c r="S76">
        <f>+S75*(1-Probs_Hombres!S75)</f>
        <v>67812.401343867197</v>
      </c>
      <c r="T76">
        <f>+T75*(1-Probs_Hombres!T75)</f>
        <v>67812.463282649434</v>
      </c>
      <c r="U76">
        <f>+U75*(1-Probs_Hombres!U75)</f>
        <v>67812.5053350698</v>
      </c>
      <c r="V76">
        <f>+V75*(1-Probs_Hombres!V75)</f>
        <v>67812.53388595565</v>
      </c>
      <c r="W76">
        <f>+W75*(1-Probs_Hombres!W75)</f>
        <v>67812.553270176766</v>
      </c>
      <c r="X76">
        <f>+X75*(1-Probs_Hombres!X75)</f>
        <v>67812.56643082363</v>
      </c>
      <c r="Y76">
        <f>+Y75*(1-Probs_Hombres!Y75)</f>
        <v>67812.575366063247</v>
      </c>
      <c r="Z76">
        <f>+Z75*(1-Probs_Hombres!Z75)</f>
        <v>67812.58143252162</v>
      </c>
      <c r="AA76">
        <f>+AA75*(1-Probs_Hombres!AA75)</f>
        <v>67812.585551260563</v>
      </c>
      <c r="AB76">
        <f>+AB75*(1-Probs_Hombres!AB75)</f>
        <v>67812.588347622426</v>
      </c>
      <c r="AC76">
        <f>+AC75*(1-Probs_Hombres!AC75)</f>
        <v>67812.590246174281</v>
      </c>
      <c r="AD76">
        <f>+AD75*(1-Probs_Hombres!AD75)</f>
        <v>67812.591535170272</v>
      </c>
      <c r="AE76">
        <f>+AE75*(1-Probs_Hombres!AE75)</f>
        <v>67812.592410316691</v>
      </c>
      <c r="AF76">
        <f>+AF75*(1-Probs_Hombres!AF75)</f>
        <v>67812.593004485359</v>
      </c>
      <c r="AG76">
        <f>+AG75*(1-Probs_Hombres!AG75)</f>
        <v>67812.593407888213</v>
      </c>
      <c r="AH76">
        <f>+AH75*(1-Probs_Hombres!AH75)</f>
        <v>67812.593681773098</v>
      </c>
    </row>
    <row r="77" spans="1:34" x14ac:dyDescent="0.25">
      <c r="A77">
        <f>+Probs_Hombres!A77</f>
        <v>75</v>
      </c>
      <c r="B77">
        <f>+B76*(1-Probs_Hombres!B76)</f>
        <v>65639.159549754448</v>
      </c>
      <c r="C77">
        <f>+C76*(1-Probs_Hombres!C76)</f>
        <v>65684.090321210344</v>
      </c>
      <c r="D77">
        <f>+D76*(1-Probs_Hombres!D76)</f>
        <v>65714.556485008085</v>
      </c>
      <c r="E77">
        <f>+E76*(1-Probs_Hombres!E76)</f>
        <v>65735.223136312328</v>
      </c>
      <c r="F77">
        <f>+F76*(1-Probs_Hombres!F76)</f>
        <v>65749.246219396475</v>
      </c>
      <c r="G77">
        <f>+G76*(1-Probs_Hombres!G76)</f>
        <v>65758.76319701894</v>
      </c>
      <c r="H77">
        <f>+H76*(1-Probs_Hombres!H76)</f>
        <v>65765.222867149758</v>
      </c>
      <c r="I77">
        <f>+I76*(1-Probs_Hombres!I76)</f>
        <v>65769.607764957458</v>
      </c>
      <c r="J77">
        <f>+J76*(1-Probs_Hombres!J76)</f>
        <v>65772.584459699763</v>
      </c>
      <c r="K77">
        <f>+K76*(1-Probs_Hombres!K76)</f>
        <v>65774.605274729896</v>
      </c>
      <c r="L77">
        <f>+L76*(1-Probs_Hombres!L76)</f>
        <v>65775.977200662615</v>
      </c>
      <c r="M77">
        <f>+M76*(1-Probs_Hombres!M76)</f>
        <v>65776.908614755725</v>
      </c>
      <c r="N77">
        <f>+N76*(1-Probs_Hombres!N76)</f>
        <v>65777.540968946807</v>
      </c>
      <c r="O77">
        <f>+O76*(1-Probs_Hombres!O76)</f>
        <v>65777.970289521778</v>
      </c>
      <c r="P77">
        <f>+P76*(1-Probs_Hombres!P76)</f>
        <v>65778.261767345728</v>
      </c>
      <c r="Q77">
        <f>+Q76*(1-Probs_Hombres!Q76)</f>
        <v>65778.459660623819</v>
      </c>
      <c r="R77">
        <f>+R76*(1-Probs_Hombres!R76)</f>
        <v>65778.594016828079</v>
      </c>
      <c r="S77">
        <f>+S76*(1-Probs_Hombres!S76)</f>
        <v>65778.685235804965</v>
      </c>
      <c r="T77">
        <f>+T76*(1-Probs_Hombres!T76)</f>
        <v>65778.747167533395</v>
      </c>
      <c r="U77">
        <f>+U76*(1-Probs_Hombres!U76)</f>
        <v>65778.789215167999</v>
      </c>
      <c r="V77">
        <f>+V76*(1-Probs_Hombres!V76)</f>
        <v>65778.817762806124</v>
      </c>
      <c r="W77">
        <f>+W76*(1-Probs_Hombres!W76)</f>
        <v>65778.837144822959</v>
      </c>
      <c r="X77">
        <f>+X76*(1-Probs_Hombres!X76)</f>
        <v>65778.850303973566</v>
      </c>
      <c r="Y77">
        <f>+Y76*(1-Probs_Hombres!Y76)</f>
        <v>65778.859238197474</v>
      </c>
      <c r="Z77">
        <f>+Z76*(1-Probs_Hombres!Z76)</f>
        <v>65778.865303966319</v>
      </c>
      <c r="AA77">
        <f>+AA76*(1-Probs_Hombres!AA76)</f>
        <v>65778.869422237156</v>
      </c>
      <c r="AB77">
        <f>+AB76*(1-Probs_Hombres!AB76)</f>
        <v>65778.872218281205</v>
      </c>
      <c r="AC77">
        <f>+AC76*(1-Probs_Hombres!AC76)</f>
        <v>65778.874116617284</v>
      </c>
      <c r="AD77">
        <f>+AD76*(1-Probs_Hombres!AD76)</f>
        <v>65778.875405466795</v>
      </c>
      <c r="AE77">
        <f>+AE76*(1-Probs_Hombres!AE76)</f>
        <v>65778.876280513752</v>
      </c>
      <c r="AF77">
        <f>+AF76*(1-Probs_Hombres!AF76)</f>
        <v>65778.876874614914</v>
      </c>
      <c r="AG77">
        <f>+AG76*(1-Probs_Hombres!AG76)</f>
        <v>65778.877277971915</v>
      </c>
      <c r="AH77">
        <f>+AH76*(1-Probs_Hombres!AH76)</f>
        <v>65778.877551825673</v>
      </c>
    </row>
    <row r="78" spans="1:34" x14ac:dyDescent="0.25">
      <c r="A78">
        <f>+Probs_Hombres!A78</f>
        <v>76</v>
      </c>
      <c r="B78">
        <f>+B77*(1-Probs_Hombres!B77)</f>
        <v>63490.241112434633</v>
      </c>
      <c r="C78">
        <f>+C77*(1-Probs_Hombres!C77)</f>
        <v>63535.193485358141</v>
      </c>
      <c r="D78">
        <f>+D77*(1-Probs_Hombres!D77)</f>
        <v>63565.676172540167</v>
      </c>
      <c r="E78">
        <f>+E77*(1-Probs_Hombres!E77)</f>
        <v>63586.354896290024</v>
      </c>
      <c r="F78">
        <f>+F77*(1-Probs_Hombres!F77)</f>
        <v>63600.386568869792</v>
      </c>
      <c r="G78">
        <f>+G77*(1-Probs_Hombres!G77)</f>
        <v>63609.909559203312</v>
      </c>
      <c r="H78">
        <f>+H77*(1-Probs_Hombres!H77)</f>
        <v>63616.373394948503</v>
      </c>
      <c r="I78">
        <f>+I77*(1-Probs_Hombres!I77)</f>
        <v>63620.761159351983</v>
      </c>
      <c r="J78">
        <f>+J77*(1-Probs_Hombres!J77)</f>
        <v>63623.739818029091</v>
      </c>
      <c r="K78">
        <f>+K77*(1-Probs_Hombres!K77)</f>
        <v>63625.761974602428</v>
      </c>
      <c r="L78">
        <f>+L77*(1-Probs_Hombres!L77)</f>
        <v>63627.134815116813</v>
      </c>
      <c r="M78">
        <f>+M77*(1-Probs_Hombres!M77)</f>
        <v>63628.066851885342</v>
      </c>
      <c r="N78">
        <f>+N77*(1-Probs_Hombres!N77)</f>
        <v>63628.69962963205</v>
      </c>
      <c r="O78">
        <f>+O77*(1-Probs_Hombres!O77)</f>
        <v>63629.129238142472</v>
      </c>
      <c r="P78">
        <f>+P77*(1-Probs_Hombres!P77)</f>
        <v>63629.420911625966</v>
      </c>
      <c r="Q78">
        <f>+Q77*(1-Probs_Hombres!Q77)</f>
        <v>63629.618937822663</v>
      </c>
      <c r="R78">
        <f>+R77*(1-Probs_Hombres!R77)</f>
        <v>63629.753384306256</v>
      </c>
      <c r="S78">
        <f>+S77*(1-Probs_Hombres!S77)</f>
        <v>63629.844664593693</v>
      </c>
      <c r="T78">
        <f>+T77*(1-Probs_Hombres!T77)</f>
        <v>63629.906637955755</v>
      </c>
      <c r="U78">
        <f>+U77*(1-Probs_Hombres!U77)</f>
        <v>63629.948713860482</v>
      </c>
      <c r="V78">
        <f>+V77*(1-Probs_Hombres!V77)</f>
        <v>63629.977280693849</v>
      </c>
      <c r="W78">
        <f>+W77*(1-Probs_Hombres!W77)</f>
        <v>63629.99667574378</v>
      </c>
      <c r="X78">
        <f>+X77*(1-Probs_Hombres!X77)</f>
        <v>63630.009843743384</v>
      </c>
      <c r="Y78">
        <f>+Y77*(1-Probs_Hombres!Y77)</f>
        <v>63630.018783975356</v>
      </c>
      <c r="Z78">
        <f>+Z77*(1-Probs_Hombres!Z77)</f>
        <v>63630.024853823365</v>
      </c>
      <c r="AA78">
        <f>+AA77*(1-Probs_Hombres!AA77)</f>
        <v>63630.028974863737</v>
      </c>
      <c r="AB78">
        <f>+AB77*(1-Probs_Hombres!AB77)</f>
        <v>63630.031772788134</v>
      </c>
      <c r="AC78">
        <f>+AC77*(1-Probs_Hombres!AC77)</f>
        <v>63630.033672400859</v>
      </c>
      <c r="AD78">
        <f>+AD77*(1-Probs_Hombres!AD77)</f>
        <v>63630.034962117134</v>
      </c>
      <c r="AE78">
        <f>+AE77*(1-Probs_Hombres!AE77)</f>
        <v>63630.03583775257</v>
      </c>
      <c r="AF78">
        <f>+AF77*(1-Probs_Hombres!AF77)</f>
        <v>63630.036432253277</v>
      </c>
      <c r="AG78">
        <f>+AG77*(1-Probs_Hombres!AG77)</f>
        <v>63630.036835881532</v>
      </c>
      <c r="AH78">
        <f>+AH77*(1-Probs_Hombres!AH77)</f>
        <v>63630.037109919474</v>
      </c>
    </row>
    <row r="79" spans="1:34" x14ac:dyDescent="0.25">
      <c r="A79">
        <f>+Probs_Hombres!A79</f>
        <v>77</v>
      </c>
      <c r="B79">
        <f>+B78*(1-Probs_Hombres!B78)</f>
        <v>61157.709161295737</v>
      </c>
      <c r="C79">
        <f>+C78*(1-Probs_Hombres!C78)</f>
        <v>61201.66294227969</v>
      </c>
      <c r="D79">
        <f>+D78*(1-Probs_Hombres!D78)</f>
        <v>61231.46943636013</v>
      </c>
      <c r="E79">
        <f>+E78*(1-Probs_Hombres!E78)</f>
        <v>61251.689890479414</v>
      </c>
      <c r="F79">
        <f>+F78*(1-Probs_Hombres!F78)</f>
        <v>61265.410805812084</v>
      </c>
      <c r="G79">
        <f>+G78*(1-Probs_Hombres!G78)</f>
        <v>61274.722986155226</v>
      </c>
      <c r="H79">
        <f>+H78*(1-Probs_Hombres!H78)</f>
        <v>61281.043775676015</v>
      </c>
      <c r="I79">
        <f>+I78*(1-Probs_Hombres!I78)</f>
        <v>61285.334457813173</v>
      </c>
      <c r="J79">
        <f>+J78*(1-Probs_Hombres!J78)</f>
        <v>61288.247220865334</v>
      </c>
      <c r="K79">
        <f>+K78*(1-Probs_Hombres!K78)</f>
        <v>61290.224646361261</v>
      </c>
      <c r="L79">
        <f>+L78*(1-Probs_Hombres!L78)</f>
        <v>61291.567120941181</v>
      </c>
      <c r="M79">
        <f>+M78*(1-Probs_Hombres!M78)</f>
        <v>61292.478542840407</v>
      </c>
      <c r="N79">
        <f>+N78*(1-Probs_Hombres!N78)</f>
        <v>61293.097325170784</v>
      </c>
      <c r="O79">
        <f>+O78*(1-Probs_Hombres!O78)</f>
        <v>61293.517432037712</v>
      </c>
      <c r="P79">
        <f>+P78*(1-Probs_Hombres!P78)</f>
        <v>61293.802654672596</v>
      </c>
      <c r="Q79">
        <f>+Q78*(1-Probs_Hombres!Q78)</f>
        <v>61293.996301228362</v>
      </c>
      <c r="R79">
        <f>+R78*(1-Probs_Hombres!R78)</f>
        <v>61294.127774248787</v>
      </c>
      <c r="S79">
        <f>+S78*(1-Probs_Hombres!S78)</f>
        <v>61294.217035759684</v>
      </c>
      <c r="T79">
        <f>+T78*(1-Probs_Hombres!T78)</f>
        <v>61294.277638508123</v>
      </c>
      <c r="U79">
        <f>+U78*(1-Probs_Hombres!U78)</f>
        <v>61294.318783856681</v>
      </c>
      <c r="V79">
        <f>+V78*(1-Probs_Hombres!V78)</f>
        <v>61294.346718903107</v>
      </c>
      <c r="W79">
        <f>+W78*(1-Probs_Hombres!W78)</f>
        <v>61294.365685010569</v>
      </c>
      <c r="X79">
        <f>+X78*(1-Probs_Hombres!X78)</f>
        <v>61294.378561785823</v>
      </c>
      <c r="Y79">
        <f>+Y78*(1-Probs_Hombres!Y78)</f>
        <v>61294.387304295109</v>
      </c>
      <c r="Z79">
        <f>+Z78*(1-Probs_Hombres!Z78)</f>
        <v>61294.393239902056</v>
      </c>
      <c r="AA79">
        <f>+AA78*(1-Probs_Hombres!AA78)</f>
        <v>61294.397269801309</v>
      </c>
      <c r="AB79">
        <f>+AB78*(1-Probs_Hombres!AB78)</f>
        <v>61294.400005846685</v>
      </c>
      <c r="AC79">
        <f>+AC78*(1-Probs_Hombres!AC78)</f>
        <v>61294.401863447507</v>
      </c>
      <c r="AD79">
        <f>+AD78*(1-Probs_Hombres!AD78)</f>
        <v>61294.403124640354</v>
      </c>
      <c r="AE79">
        <f>+AE78*(1-Probs_Hombres!AE78)</f>
        <v>61294.403980910211</v>
      </c>
      <c r="AF79">
        <f>+AF78*(1-Probs_Hombres!AF78)</f>
        <v>61294.404562262913</v>
      </c>
      <c r="AG79">
        <f>+AG78*(1-Probs_Hombres!AG78)</f>
        <v>61294.404956964507</v>
      </c>
      <c r="AH79">
        <f>+AH78*(1-Probs_Hombres!AH78)</f>
        <v>61294.405224941816</v>
      </c>
    </row>
    <row r="80" spans="1:34" x14ac:dyDescent="0.25">
      <c r="A80">
        <f>+Probs_Hombres!A80</f>
        <v>78</v>
      </c>
      <c r="B80">
        <f>+B79*(1-Probs_Hombres!B79)</f>
        <v>58607.283835381699</v>
      </c>
      <c r="C80">
        <f>+C79*(1-Probs_Hombres!C79)</f>
        <v>58648.6459144002</v>
      </c>
      <c r="D80">
        <f>+D79*(1-Probs_Hombres!D79)</f>
        <v>58676.693534622733</v>
      </c>
      <c r="E80">
        <f>+E79*(1-Probs_Hombres!E79)</f>
        <v>58695.720159630197</v>
      </c>
      <c r="F80">
        <f>+F79*(1-Probs_Hombres!F79)</f>
        <v>58708.630694817773</v>
      </c>
      <c r="G80">
        <f>+G79*(1-Probs_Hombres!G79)</f>
        <v>58717.392749437786</v>
      </c>
      <c r="H80">
        <f>+H79*(1-Probs_Hombres!H79)</f>
        <v>58723.340071209408</v>
      </c>
      <c r="I80">
        <f>+I79*(1-Probs_Hombres!I79)</f>
        <v>58727.377207523561</v>
      </c>
      <c r="J80">
        <f>+J79*(1-Probs_Hombres!J79)</f>
        <v>58730.117836006459</v>
      </c>
      <c r="K80">
        <f>+K79*(1-Probs_Hombres!K79)</f>
        <v>58731.978396262726</v>
      </c>
      <c r="L80">
        <f>+L79*(1-Probs_Hombres!L79)</f>
        <v>58733.241528243088</v>
      </c>
      <c r="M80">
        <f>+M79*(1-Probs_Hombres!M79)</f>
        <v>58734.099082237226</v>
      </c>
      <c r="N80">
        <f>+N79*(1-Probs_Hombres!N79)</f>
        <v>58734.681291995497</v>
      </c>
      <c r="O80">
        <f>+O79*(1-Probs_Hombres!O79)</f>
        <v>58735.076568553872</v>
      </c>
      <c r="P80">
        <f>+P79*(1-Probs_Hombres!P79)</f>
        <v>58735.344933053311</v>
      </c>
      <c r="Q80">
        <f>+Q79*(1-Probs_Hombres!Q79)</f>
        <v>58735.527134036842</v>
      </c>
      <c r="R80">
        <f>+R79*(1-Probs_Hombres!R79)</f>
        <v>58735.650836255038</v>
      </c>
      <c r="S80">
        <f>+S79*(1-Probs_Hombres!S79)</f>
        <v>58735.734821891456</v>
      </c>
      <c r="T80">
        <f>+T79*(1-Probs_Hombres!T79)</f>
        <v>58735.791842659317</v>
      </c>
      <c r="U80">
        <f>+U79*(1-Probs_Hombres!U79)</f>
        <v>58735.830556072033</v>
      </c>
      <c r="V80">
        <f>+V79*(1-Probs_Hombres!V79)</f>
        <v>58735.856839989166</v>
      </c>
      <c r="W80">
        <f>+W79*(1-Probs_Hombres!W79)</f>
        <v>58735.874685085044</v>
      </c>
      <c r="X80">
        <f>+X79*(1-Probs_Hombres!X79)</f>
        <v>58735.886800764783</v>
      </c>
      <c r="Y80">
        <f>+Y79*(1-Probs_Hombres!Y79)</f>
        <v>58735.895026538645</v>
      </c>
      <c r="Z80">
        <f>+Z79*(1-Probs_Hombres!Z79)</f>
        <v>58735.90061131509</v>
      </c>
      <c r="AA80">
        <f>+AA79*(1-Probs_Hombres!AA79)</f>
        <v>58735.904403022731</v>
      </c>
      <c r="AB80">
        <f>+AB79*(1-Probs_Hombres!AB79)</f>
        <v>58735.906977351151</v>
      </c>
      <c r="AC80">
        <f>+AC79*(1-Probs_Hombres!AC79)</f>
        <v>58735.908725156434</v>
      </c>
      <c r="AD80">
        <f>+AD79*(1-Probs_Hombres!AD79)</f>
        <v>58735.909911805087</v>
      </c>
      <c r="AE80">
        <f>+AE79*(1-Probs_Hombres!AE79)</f>
        <v>58735.910717464169</v>
      </c>
      <c r="AF80">
        <f>+AF79*(1-Probs_Hombres!AF79)</f>
        <v>58735.911264455375</v>
      </c>
      <c r="AG80">
        <f>+AG79*(1-Probs_Hombres!AG79)</f>
        <v>58735.911635827695</v>
      </c>
      <c r="AH80">
        <f>+AH79*(1-Probs_Hombres!AH79)</f>
        <v>58735.911887965915</v>
      </c>
    </row>
    <row r="81" spans="1:34" x14ac:dyDescent="0.25">
      <c r="A81">
        <f>+Probs_Hombres!A81</f>
        <v>79</v>
      </c>
      <c r="B81">
        <f>+B80*(1-Probs_Hombres!B80)</f>
        <v>55886.448332131025</v>
      </c>
      <c r="C81">
        <f>+C80*(1-Probs_Hombres!C80)</f>
        <v>55924.468288849632</v>
      </c>
      <c r="D81">
        <f>+D80*(1-Probs_Hombres!D80)</f>
        <v>55950.246871846801</v>
      </c>
      <c r="E81">
        <f>+E80*(1-Probs_Hombres!E80)</f>
        <v>55967.732987850388</v>
      </c>
      <c r="F81">
        <f>+F80*(1-Probs_Hombres!F80)</f>
        <v>55979.597625759598</v>
      </c>
      <c r="G81">
        <f>+G80*(1-Probs_Hombres!G80)</f>
        <v>55987.649587339438</v>
      </c>
      <c r="H81">
        <f>+H80*(1-Probs_Hombres!H80)</f>
        <v>55993.114803228142</v>
      </c>
      <c r="I81">
        <f>+I80*(1-Probs_Hombres!I80)</f>
        <v>55996.824621275286</v>
      </c>
      <c r="J81">
        <f>+J80*(1-Probs_Hombres!J80)</f>
        <v>55999.343021908709</v>
      </c>
      <c r="K81">
        <f>+K80*(1-Probs_Hombres!K80)</f>
        <v>56001.052703784786</v>
      </c>
      <c r="L81">
        <f>+L80*(1-Probs_Hombres!L80)</f>
        <v>56002.213399027823</v>
      </c>
      <c r="M81">
        <f>+M80*(1-Probs_Hombres!M80)</f>
        <v>56003.001405030176</v>
      </c>
      <c r="N81">
        <f>+N80*(1-Probs_Hombres!N80)</f>
        <v>56003.536396141266</v>
      </c>
      <c r="O81">
        <f>+O80*(1-Probs_Hombres!O80)</f>
        <v>56003.899614247683</v>
      </c>
      <c r="P81">
        <f>+P80*(1-Probs_Hombres!P80)</f>
        <v>56004.146213099419</v>
      </c>
      <c r="Q81">
        <f>+Q80*(1-Probs_Hombres!Q80)</f>
        <v>56004.313636593048</v>
      </c>
      <c r="R81">
        <f>+R80*(1-Probs_Hombres!R80)</f>
        <v>56004.427305835408</v>
      </c>
      <c r="S81">
        <f>+S80*(1-Probs_Hombres!S80)</f>
        <v>56004.504479719093</v>
      </c>
      <c r="T81">
        <f>+T80*(1-Probs_Hombres!T80)</f>
        <v>56004.556875739836</v>
      </c>
      <c r="U81">
        <f>+U80*(1-Probs_Hombres!U80)</f>
        <v>56004.59244924318</v>
      </c>
      <c r="V81">
        <f>+V80*(1-Probs_Hombres!V80)</f>
        <v>56004.616601361384</v>
      </c>
      <c r="W81">
        <f>+W80*(1-Probs_Hombres!W80)</f>
        <v>56004.632999101254</v>
      </c>
      <c r="X81">
        <f>+X80*(1-Probs_Hombres!X80)</f>
        <v>56004.644132118228</v>
      </c>
      <c r="Y81">
        <f>+Y80*(1-Probs_Hombres!Y80)</f>
        <v>56004.651690726503</v>
      </c>
      <c r="Z81">
        <f>+Z80*(1-Probs_Hombres!Z80)</f>
        <v>56004.65682253991</v>
      </c>
      <c r="AA81">
        <f>+AA80*(1-Probs_Hombres!AA80)</f>
        <v>56004.660306714431</v>
      </c>
      <c r="AB81">
        <f>+AB80*(1-Probs_Hombres!AB80)</f>
        <v>56004.662672247403</v>
      </c>
      <c r="AC81">
        <f>+AC80*(1-Probs_Hombres!AC80)</f>
        <v>56004.664278293836</v>
      </c>
      <c r="AD81">
        <f>+AD80*(1-Probs_Hombres!AD80)</f>
        <v>56004.665368697242</v>
      </c>
      <c r="AE81">
        <f>+AE80*(1-Probs_Hombres!AE80)</f>
        <v>56004.666109011901</v>
      </c>
      <c r="AF81">
        <f>+AF80*(1-Probs_Hombres!AF80)</f>
        <v>56004.666611638422</v>
      </c>
      <c r="AG81">
        <f>+AG80*(1-Probs_Hombres!AG80)</f>
        <v>56004.666952889922</v>
      </c>
      <c r="AH81">
        <f>+AH80*(1-Probs_Hombres!AH80)</f>
        <v>56004.667184578022</v>
      </c>
    </row>
    <row r="82" spans="1:34" x14ac:dyDescent="0.25">
      <c r="A82">
        <f>+Probs_Hombres!A82</f>
        <v>80</v>
      </c>
      <c r="B82">
        <f>+B81*(1-Probs_Hombres!B81)</f>
        <v>53112.586388238356</v>
      </c>
      <c r="C82">
        <f>+C81*(1-Probs_Hombres!C81)</f>
        <v>53147.279640556182</v>
      </c>
      <c r="D82">
        <f>+D81*(1-Probs_Hombres!D81)</f>
        <v>53170.799788553588</v>
      </c>
      <c r="E82">
        <f>+E81*(1-Probs_Hombres!E81)</f>
        <v>53186.7526557819</v>
      </c>
      <c r="F82">
        <f>+F81*(1-Probs_Hombres!F81)</f>
        <v>53197.576354226447</v>
      </c>
      <c r="G82">
        <f>+G81*(1-Probs_Hombres!G81)</f>
        <v>53204.921601982074</v>
      </c>
      <c r="H82">
        <f>+H81*(1-Probs_Hombres!H81)</f>
        <v>53209.90701233453</v>
      </c>
      <c r="I82">
        <f>+I81*(1-Probs_Hombres!I81)</f>
        <v>53213.291076703783</v>
      </c>
      <c r="J82">
        <f>+J81*(1-Probs_Hombres!J81)</f>
        <v>53215.58831303499</v>
      </c>
      <c r="K82">
        <f>+K81*(1-Probs_Hombres!K81)</f>
        <v>53217.147839206838</v>
      </c>
      <c r="L82">
        <f>+L81*(1-Probs_Hombres!L81)</f>
        <v>53218.20658863787</v>
      </c>
      <c r="M82">
        <f>+M81*(1-Probs_Hombres!M81)</f>
        <v>53218.925380081957</v>
      </c>
      <c r="N82">
        <f>+N81*(1-Probs_Hombres!N81)</f>
        <v>53219.413378984304</v>
      </c>
      <c r="O82">
        <f>+O81*(1-Probs_Hombres!O81)</f>
        <v>53219.744692402943</v>
      </c>
      <c r="P82">
        <f>+P81*(1-Probs_Hombres!P81)</f>
        <v>53219.969630015476</v>
      </c>
      <c r="Q82">
        <f>+Q81*(1-Probs_Hombres!Q81)</f>
        <v>53220.12234691163</v>
      </c>
      <c r="R82">
        <f>+R81*(1-Probs_Hombres!R81)</f>
        <v>53220.226031312253</v>
      </c>
      <c r="S82">
        <f>+S81*(1-Probs_Hombres!S81)</f>
        <v>53220.296426124412</v>
      </c>
      <c r="T82">
        <f>+T81*(1-Probs_Hombres!T81)</f>
        <v>53220.344219587052</v>
      </c>
      <c r="U82">
        <f>+U81*(1-Probs_Hombres!U81)</f>
        <v>53220.376668246216</v>
      </c>
      <c r="V82">
        <f>+V81*(1-Probs_Hombres!V81)</f>
        <v>53220.398698793921</v>
      </c>
      <c r="W82">
        <f>+W81*(1-Probs_Hombres!W81)</f>
        <v>53220.413656122284</v>
      </c>
      <c r="X82">
        <f>+X81*(1-Probs_Hombres!X81)</f>
        <v>53220.423811191402</v>
      </c>
      <c r="Y82">
        <f>+Y81*(1-Probs_Hombres!Y81)</f>
        <v>53220.430705835228</v>
      </c>
      <c r="Z82">
        <f>+Z81*(1-Probs_Hombres!Z81)</f>
        <v>53220.435386858968</v>
      </c>
      <c r="AA82">
        <f>+AA81*(1-Probs_Hombres!AA81)</f>
        <v>53220.43856497595</v>
      </c>
      <c r="AB82">
        <f>+AB81*(1-Probs_Hombres!AB81)</f>
        <v>53220.440722715291</v>
      </c>
      <c r="AC82">
        <f>+AC81*(1-Probs_Hombres!AC81)</f>
        <v>53220.442187683053</v>
      </c>
      <c r="AD82">
        <f>+AD81*(1-Probs_Hombres!AD81)</f>
        <v>53220.443182303017</v>
      </c>
      <c r="AE82">
        <f>+AE81*(1-Probs_Hombres!AE81)</f>
        <v>53220.44385758679</v>
      </c>
      <c r="AF82">
        <f>+AF81*(1-Probs_Hombres!AF81)</f>
        <v>53220.444316061476</v>
      </c>
      <c r="AG82">
        <f>+AG81*(1-Probs_Hombres!AG81)</f>
        <v>53220.444627336685</v>
      </c>
      <c r="AH82">
        <f>+AH81*(1-Probs_Hombres!AH81)</f>
        <v>53220.444838672796</v>
      </c>
    </row>
    <row r="83" spans="1:34" x14ac:dyDescent="0.25">
      <c r="A83">
        <f>+Probs_Hombres!A83</f>
        <v>81</v>
      </c>
      <c r="B83">
        <f>+B82*(1-Probs_Hombres!B82)</f>
        <v>50273.494761241935</v>
      </c>
      <c r="C83">
        <f>+C82*(1-Probs_Hombres!C82)</f>
        <v>50304.671095481383</v>
      </c>
      <c r="D83">
        <f>+D82*(1-Probs_Hombres!D82)</f>
        <v>50325.803541974499</v>
      </c>
      <c r="E83">
        <f>+E82*(1-Probs_Hombres!E82)</f>
        <v>50340.135339783606</v>
      </c>
      <c r="F83">
        <f>+F82*(1-Probs_Hombres!F82)</f>
        <v>50349.858447906488</v>
      </c>
      <c r="G83">
        <f>+G82*(1-Probs_Hombres!G82)</f>
        <v>50356.456470612764</v>
      </c>
      <c r="H83">
        <f>+H82*(1-Probs_Hombres!H82)</f>
        <v>50360.934565312069</v>
      </c>
      <c r="I83">
        <f>+I82*(1-Probs_Hombres!I82)</f>
        <v>50363.974195815172</v>
      </c>
      <c r="J83">
        <f>+J82*(1-Probs_Hombres!J82)</f>
        <v>50366.037584000114</v>
      </c>
      <c r="K83">
        <f>+K82*(1-Probs_Hombres!K82)</f>
        <v>50367.438342398185</v>
      </c>
      <c r="L83">
        <f>+L82*(1-Probs_Hombres!L82)</f>
        <v>50368.389298717782</v>
      </c>
      <c r="M83">
        <f>+M82*(1-Probs_Hombres!M82)</f>
        <v>50369.034905542947</v>
      </c>
      <c r="N83">
        <f>+N82*(1-Probs_Hombres!N82)</f>
        <v>50369.473216764192</v>
      </c>
      <c r="O83">
        <f>+O82*(1-Probs_Hombres!O82)</f>
        <v>50369.770795415963</v>
      </c>
      <c r="P83">
        <f>+P82*(1-Probs_Hombres!P82)</f>
        <v>50369.972829270504</v>
      </c>
      <c r="Q83">
        <f>+Q82*(1-Probs_Hombres!Q82)</f>
        <v>50370.109995972663</v>
      </c>
      <c r="R83">
        <f>+R82*(1-Probs_Hombres!R82)</f>
        <v>50370.20312278068</v>
      </c>
      <c r="S83">
        <f>+S82*(1-Probs_Hombres!S82)</f>
        <v>50370.266349658756</v>
      </c>
      <c r="T83">
        <f>+T82*(1-Probs_Hombres!T82)</f>
        <v>50370.309276549808</v>
      </c>
      <c r="U83">
        <f>+U82*(1-Probs_Hombres!U82)</f>
        <v>50370.338421116176</v>
      </c>
      <c r="V83">
        <f>+V82*(1-Probs_Hombres!V82)</f>
        <v>50370.358208394842</v>
      </c>
      <c r="W83">
        <f>+W82*(1-Probs_Hombres!W82)</f>
        <v>50370.371642686085</v>
      </c>
      <c r="X83">
        <f>+X82*(1-Probs_Hombres!X82)</f>
        <v>50370.380763709778</v>
      </c>
      <c r="Y83">
        <f>+Y82*(1-Probs_Hombres!Y82)</f>
        <v>50370.386956302456</v>
      </c>
      <c r="Z83">
        <f>+Z82*(1-Probs_Hombres!Z82)</f>
        <v>50370.391160678082</v>
      </c>
      <c r="AA83">
        <f>+AA82*(1-Probs_Hombres!AA82)</f>
        <v>50370.394015181271</v>
      </c>
      <c r="AB83">
        <f>+AB82*(1-Probs_Hombres!AB82)</f>
        <v>50370.395953207408</v>
      </c>
      <c r="AC83">
        <f>+AC82*(1-Probs_Hombres!AC82)</f>
        <v>50370.397269003864</v>
      </c>
      <c r="AD83">
        <f>+AD82*(1-Probs_Hombres!AD82)</f>
        <v>50370.398162345991</v>
      </c>
      <c r="AE83">
        <f>+AE82*(1-Probs_Hombres!AE82)</f>
        <v>50370.398768868545</v>
      </c>
      <c r="AF83">
        <f>+AF82*(1-Probs_Hombres!AF82)</f>
        <v>50370.399180658736</v>
      </c>
      <c r="AG83">
        <f>+AG82*(1-Probs_Hombres!AG82)</f>
        <v>50370.399460238143</v>
      </c>
      <c r="AH83">
        <f>+AH82*(1-Probs_Hombres!AH82)</f>
        <v>50370.399650054809</v>
      </c>
    </row>
    <row r="84" spans="1:34" x14ac:dyDescent="0.25">
      <c r="A84">
        <f>+Probs_Hombres!A84</f>
        <v>82</v>
      </c>
      <c r="B84">
        <f>+B83*(1-Probs_Hombres!B83)</f>
        <v>47283.556274774193</v>
      </c>
      <c r="C84">
        <f>+C83*(1-Probs_Hombres!C83)</f>
        <v>47309.239053071629</v>
      </c>
      <c r="D84">
        <f>+D83*(1-Probs_Hombres!D83)</f>
        <v>47326.638750932492</v>
      </c>
      <c r="E84">
        <f>+E83*(1-Probs_Hombres!E83)</f>
        <v>47338.434877853571</v>
      </c>
      <c r="F84">
        <f>+F83*(1-Probs_Hombres!F83)</f>
        <v>47346.435793860095</v>
      </c>
      <c r="G84">
        <f>+G83*(1-Probs_Hombres!G83)</f>
        <v>47351.864265778713</v>
      </c>
      <c r="H84">
        <f>+H83*(1-Probs_Hombres!H83)</f>
        <v>47355.548175274795</v>
      </c>
      <c r="I84">
        <f>+I83*(1-Probs_Hombres!I83)</f>
        <v>47358.048542461358</v>
      </c>
      <c r="J84">
        <f>+J83*(1-Probs_Hombres!J83)</f>
        <v>47359.745776523356</v>
      </c>
      <c r="K84">
        <f>+K83*(1-Probs_Hombres!K83)</f>
        <v>47360.897926354235</v>
      </c>
      <c r="L84">
        <f>+L83*(1-Probs_Hombres!L83)</f>
        <v>47361.680087175671</v>
      </c>
      <c r="M84">
        <f>+M83*(1-Probs_Hombres!M83)</f>
        <v>47362.211089780954</v>
      </c>
      <c r="N84">
        <f>+N83*(1-Probs_Hombres!N83)</f>
        <v>47362.571590727064</v>
      </c>
      <c r="O84">
        <f>+O83*(1-Probs_Hombres!O83)</f>
        <v>47362.816340550489</v>
      </c>
      <c r="P84">
        <f>+P83*(1-Probs_Hombres!P83)</f>
        <v>47362.982506712688</v>
      </c>
      <c r="Q84">
        <f>+Q83*(1-Probs_Hombres!Q83)</f>
        <v>47363.095321404122</v>
      </c>
      <c r="R84">
        <f>+R83*(1-Probs_Hombres!R83)</f>
        <v>47363.171914685758</v>
      </c>
      <c r="S84">
        <f>+S83*(1-Probs_Hombres!S83)</f>
        <v>47363.223916322997</v>
      </c>
      <c r="T84">
        <f>+T83*(1-Probs_Hombres!T83)</f>
        <v>47363.259221976339</v>
      </c>
      <c r="U84">
        <f>+U83*(1-Probs_Hombres!U83)</f>
        <v>47363.28319220079</v>
      </c>
      <c r="V84">
        <f>+V83*(1-Probs_Hombres!V83)</f>
        <v>47363.299466427423</v>
      </c>
      <c r="W84">
        <f>+W83*(1-Probs_Hombres!W83)</f>
        <v>47363.31051557832</v>
      </c>
      <c r="X84">
        <f>+X83*(1-Probs_Hombres!X83)</f>
        <v>47363.318017242695</v>
      </c>
      <c r="Y84">
        <f>+Y83*(1-Probs_Hombres!Y83)</f>
        <v>47363.323110393023</v>
      </c>
      <c r="Z84">
        <f>+Z83*(1-Probs_Hombres!Z83)</f>
        <v>47363.326568317032</v>
      </c>
      <c r="AA84">
        <f>+AA83*(1-Probs_Hombres!AA83)</f>
        <v>47363.328916026949</v>
      </c>
      <c r="AB84">
        <f>+AB83*(1-Probs_Hombres!AB83)</f>
        <v>47363.330509972613</v>
      </c>
      <c r="AC84">
        <f>+AC83*(1-Probs_Hombres!AC83)</f>
        <v>47363.331592160284</v>
      </c>
      <c r="AD84">
        <f>+AD83*(1-Probs_Hombres!AD83)</f>
        <v>47363.332326896889</v>
      </c>
      <c r="AE84">
        <f>+AE83*(1-Probs_Hombres!AE83)</f>
        <v>47363.332825736361</v>
      </c>
      <c r="AF84">
        <f>+AF83*(1-Probs_Hombres!AF83)</f>
        <v>47363.333164416581</v>
      </c>
      <c r="AG84">
        <f>+AG83*(1-Probs_Hombres!AG83)</f>
        <v>47363.333394358961</v>
      </c>
      <c r="AH84">
        <f>+AH83*(1-Probs_Hombres!AH83)</f>
        <v>47363.333550475239</v>
      </c>
    </row>
    <row r="85" spans="1:34" x14ac:dyDescent="0.25">
      <c r="A85">
        <f>+Probs_Hombres!A85</f>
        <v>83</v>
      </c>
      <c r="B85">
        <f>+B84*(1-Probs_Hombres!B84)</f>
        <v>44084.669425654181</v>
      </c>
      <c r="C85">
        <f>+C84*(1-Probs_Hombres!C84)</f>
        <v>44102.476080877736</v>
      </c>
      <c r="D85">
        <f>+D84*(1-Probs_Hombres!D84)</f>
        <v>44114.520647364443</v>
      </c>
      <c r="E85">
        <f>+E84*(1-Probs_Hombres!E84)</f>
        <v>44122.677406869145</v>
      </c>
      <c r="F85">
        <f>+F84*(1-Probs_Hombres!F84)</f>
        <v>44128.20577526385</v>
      </c>
      <c r="G85">
        <f>+G84*(1-Probs_Hombres!G84)</f>
        <v>44131.954784262089</v>
      </c>
      <c r="H85">
        <f>+H84*(1-Probs_Hombres!H84)</f>
        <v>44134.498094614784</v>
      </c>
      <c r="I85">
        <f>+I84*(1-Probs_Hombres!I84)</f>
        <v>44136.22390583896</v>
      </c>
      <c r="J85">
        <f>+J84*(1-Probs_Hombres!J84)</f>
        <v>44137.395191106865</v>
      </c>
      <c r="K85">
        <f>+K84*(1-Probs_Hombres!K84)</f>
        <v>44138.190220774784</v>
      </c>
      <c r="L85">
        <f>+L84*(1-Probs_Hombres!L84)</f>
        <v>44138.729903861225</v>
      </c>
      <c r="M85">
        <f>+M84*(1-Probs_Hombres!M84)</f>
        <v>44139.096272191156</v>
      </c>
      <c r="N85">
        <f>+N84*(1-Probs_Hombres!N84)</f>
        <v>44139.344993559665</v>
      </c>
      <c r="O85">
        <f>+O84*(1-Probs_Hombres!O84)</f>
        <v>44139.513850600801</v>
      </c>
      <c r="P85">
        <f>+P84*(1-Probs_Hombres!P84)</f>
        <v>44139.628489670707</v>
      </c>
      <c r="Q85">
        <f>+Q84*(1-Probs_Hombres!Q84)</f>
        <v>44139.706320410674</v>
      </c>
      <c r="R85">
        <f>+R84*(1-Probs_Hombres!R84)</f>
        <v>44139.759161660048</v>
      </c>
      <c r="S85">
        <f>+S84*(1-Probs_Hombres!S84)</f>
        <v>44139.795037106422</v>
      </c>
      <c r="T85">
        <f>+T84*(1-Probs_Hombres!T84)</f>
        <v>44139.81939406848</v>
      </c>
      <c r="U85">
        <f>+U84*(1-Probs_Hombres!U84)</f>
        <v>44139.835930812282</v>
      </c>
      <c r="V85">
        <f>+V84*(1-Probs_Hombres!V84)</f>
        <v>44139.847158170975</v>
      </c>
      <c r="W85">
        <f>+W84*(1-Probs_Hombres!W84)</f>
        <v>44139.854780816029</v>
      </c>
      <c r="X85">
        <f>+X84*(1-Probs_Hombres!X84)</f>
        <v>44139.859956099193</v>
      </c>
      <c r="Y85">
        <f>+Y84*(1-Probs_Hombres!Y84)</f>
        <v>44139.863469783799</v>
      </c>
      <c r="Z85">
        <f>+Z84*(1-Probs_Hombres!Z84)</f>
        <v>44139.865855350639</v>
      </c>
      <c r="AA85">
        <f>+AA84*(1-Probs_Hombres!AA84)</f>
        <v>44139.86747499802</v>
      </c>
      <c r="AB85">
        <f>+AB84*(1-Probs_Hombres!AB84)</f>
        <v>44139.868574635417</v>
      </c>
      <c r="AC85">
        <f>+AC84*(1-Probs_Hombres!AC84)</f>
        <v>44139.869321219143</v>
      </c>
      <c r="AD85">
        <f>+AD84*(1-Probs_Hombres!AD84)</f>
        <v>44139.869828101982</v>
      </c>
      <c r="AE85">
        <f>+AE84*(1-Probs_Hombres!AE84)</f>
        <v>44139.870172243216</v>
      </c>
      <c r="AF85">
        <f>+AF84*(1-Probs_Hombres!AF84)</f>
        <v>44139.870405893162</v>
      </c>
      <c r="AG85">
        <f>+AG84*(1-Probs_Hombres!AG84)</f>
        <v>44139.87056452666</v>
      </c>
      <c r="AH85">
        <f>+AH84*(1-Probs_Hombres!AH84)</f>
        <v>44139.870672228732</v>
      </c>
    </row>
    <row r="86" spans="1:34" x14ac:dyDescent="0.25">
      <c r="A86">
        <f>+Probs_Hombres!A86</f>
        <v>84</v>
      </c>
      <c r="B86">
        <f>+B85*(1-Probs_Hombres!B85)</f>
        <v>40698.414564062863</v>
      </c>
      <c r="C86">
        <f>+C85*(1-Probs_Hombres!C85)</f>
        <v>40706.972331162004</v>
      </c>
      <c r="D86">
        <f>+D85*(1-Probs_Hombres!D85)</f>
        <v>40712.727303566513</v>
      </c>
      <c r="E86">
        <f>+E85*(1-Probs_Hombres!E85)</f>
        <v>40716.609128651289</v>
      </c>
      <c r="F86">
        <f>+F85*(1-Probs_Hombres!F85)</f>
        <v>40719.232920591428</v>
      </c>
      <c r="G86">
        <f>+G85*(1-Probs_Hombres!G85)</f>
        <v>40721.008907161551</v>
      </c>
      <c r="H86">
        <f>+H85*(1-Probs_Hombres!H85)</f>
        <v>40722.21219976664</v>
      </c>
      <c r="I86">
        <f>+I85*(1-Probs_Hombres!I85)</f>
        <v>40723.028011596878</v>
      </c>
      <c r="J86">
        <f>+J85*(1-Probs_Hombres!J85)</f>
        <v>40723.58136713662</v>
      </c>
      <c r="K86">
        <f>+K85*(1-Probs_Hombres!K85)</f>
        <v>40723.956816621925</v>
      </c>
      <c r="L86">
        <f>+L85*(1-Probs_Hombres!L85)</f>
        <v>40724.211610605656</v>
      </c>
      <c r="M86">
        <f>+M85*(1-Probs_Hombres!M85)</f>
        <v>40724.384547739312</v>
      </c>
      <c r="N86">
        <f>+N85*(1-Probs_Hombres!N85)</f>
        <v>40724.501937191751</v>
      </c>
      <c r="O86">
        <f>+O85*(1-Probs_Hombres!O85)</f>
        <v>40724.581626166997</v>
      </c>
      <c r="P86">
        <f>+P85*(1-Probs_Hombres!P85)</f>
        <v>40724.635724845524</v>
      </c>
      <c r="Q86">
        <f>+Q85*(1-Probs_Hombres!Q85)</f>
        <v>40724.672452072897</v>
      </c>
      <c r="R86">
        <f>+R85*(1-Probs_Hombres!R85)</f>
        <v>40724.697386449014</v>
      </c>
      <c r="S86">
        <f>+S85*(1-Probs_Hombres!S85)</f>
        <v>40724.714314809426</v>
      </c>
      <c r="T86">
        <f>+T85*(1-Probs_Hombres!T85)</f>
        <v>40724.72580786149</v>
      </c>
      <c r="U86">
        <f>+U85*(1-Probs_Hombres!U85)</f>
        <v>40724.733610808151</v>
      </c>
      <c r="V86">
        <f>+V85*(1-Probs_Hombres!V85)</f>
        <v>40724.73890846446</v>
      </c>
      <c r="W86">
        <f>+W85*(1-Probs_Hombres!W85)</f>
        <v>40724.742505214184</v>
      </c>
      <c r="X86">
        <f>+X85*(1-Probs_Hombres!X85)</f>
        <v>40724.744947168285</v>
      </c>
      <c r="Y86">
        <f>+Y85*(1-Probs_Hombres!Y85)</f>
        <v>40724.746605095235</v>
      </c>
      <c r="Z86">
        <f>+Z85*(1-Probs_Hombres!Z85)</f>
        <v>40724.747730720126</v>
      </c>
      <c r="AA86">
        <f>+AA85*(1-Probs_Hombres!AA85)</f>
        <v>40724.748494946791</v>
      </c>
      <c r="AB86">
        <f>+AB85*(1-Probs_Hombres!AB85)</f>
        <v>40724.749013807777</v>
      </c>
      <c r="AC86">
        <f>+AC85*(1-Probs_Hombres!AC85)</f>
        <v>40724.749366081182</v>
      </c>
      <c r="AD86">
        <f>+AD85*(1-Probs_Hombres!AD85)</f>
        <v>40724.749605252349</v>
      </c>
      <c r="AE86">
        <f>+AE85*(1-Probs_Hombres!AE85)</f>
        <v>40724.749767634348</v>
      </c>
      <c r="AF86">
        <f>+AF85*(1-Probs_Hombres!AF85)</f>
        <v>40724.749877881331</v>
      </c>
      <c r="AG86">
        <f>+AG85*(1-Probs_Hombres!AG85)</f>
        <v>40724.749952732054</v>
      </c>
      <c r="AH86">
        <f>+AH85*(1-Probs_Hombres!AH85)</f>
        <v>40724.750003550937</v>
      </c>
    </row>
    <row r="87" spans="1:34" x14ac:dyDescent="0.25">
      <c r="A87">
        <f>+Probs_Hombres!A87</f>
        <v>85</v>
      </c>
      <c r="B87">
        <f>+B86*(1-Probs_Hombres!B86)</f>
        <v>37210.59646051257</v>
      </c>
      <c r="C87">
        <f>+C86*(1-Probs_Hombres!C86)</f>
        <v>37209.653744890078</v>
      </c>
      <c r="D87">
        <f>+D86*(1-Probs_Hombres!D86)</f>
        <v>37208.949152121146</v>
      </c>
      <c r="E87">
        <f>+E86*(1-Probs_Hombres!E86)</f>
        <v>37208.441036732278</v>
      </c>
      <c r="F87">
        <f>+F86*(1-Probs_Hombres!F86)</f>
        <v>37208.082352973521</v>
      </c>
      <c r="G87">
        <f>+G86*(1-Probs_Hombres!G86)</f>
        <v>37207.83251299509</v>
      </c>
      <c r="H87">
        <f>+H86*(1-Probs_Hombres!H86)</f>
        <v>37207.659976282885</v>
      </c>
      <c r="I87">
        <f>+I86*(1-Probs_Hombres!I86)</f>
        <v>37207.541492985525</v>
      </c>
      <c r="J87">
        <f>+J86*(1-Probs_Hombres!J86)</f>
        <v>37207.460431867621</v>
      </c>
      <c r="K87">
        <f>+K86*(1-Probs_Hombres!K86)</f>
        <v>37207.405111435968</v>
      </c>
      <c r="L87">
        <f>+L86*(1-Probs_Hombres!L86)</f>
        <v>37207.367420971001</v>
      </c>
      <c r="M87">
        <f>+M86*(1-Probs_Hombres!M86)</f>
        <v>37207.341770968502</v>
      </c>
      <c r="N87">
        <f>+N86*(1-Probs_Hombres!N86)</f>
        <v>37207.324328326198</v>
      </c>
      <c r="O87">
        <f>+O86*(1-Probs_Hombres!O86)</f>
        <v>37207.312473010395</v>
      </c>
      <c r="P87">
        <f>+P86*(1-Probs_Hombres!P86)</f>
        <v>37207.304418071748</v>
      </c>
      <c r="Q87">
        <f>+Q86*(1-Probs_Hombres!Q86)</f>
        <v>37207.298946545649</v>
      </c>
      <c r="R87">
        <f>+R86*(1-Probs_Hombres!R86)</f>
        <v>37207.295230466545</v>
      </c>
      <c r="S87">
        <f>+S86*(1-Probs_Hombres!S86)</f>
        <v>37207.292706903951</v>
      </c>
      <c r="T87">
        <f>+T86*(1-Probs_Hombres!T86)</f>
        <v>37207.290993297356</v>
      </c>
      <c r="U87">
        <f>+U86*(1-Probs_Hombres!U86)</f>
        <v>37207.289829743968</v>
      </c>
      <c r="V87">
        <f>+V86*(1-Probs_Hombres!V86)</f>
        <v>37207.289039708179</v>
      </c>
      <c r="W87">
        <f>+W86*(1-Probs_Hombres!W86)</f>
        <v>37207.288503297947</v>
      </c>
      <c r="X87">
        <f>+X86*(1-Probs_Hombres!X86)</f>
        <v>37207.288139097283</v>
      </c>
      <c r="Y87">
        <f>+Y86*(1-Probs_Hombres!Y86)</f>
        <v>37207.287891822634</v>
      </c>
      <c r="Z87">
        <f>+Z86*(1-Probs_Hombres!Z86)</f>
        <v>37207.287723936308</v>
      </c>
      <c r="AA87">
        <f>+AA86*(1-Probs_Hombres!AA86)</f>
        <v>37207.287609950879</v>
      </c>
      <c r="AB87">
        <f>+AB86*(1-Probs_Hombres!AB86)</f>
        <v>37207.287532561553</v>
      </c>
      <c r="AC87">
        <f>+AC86*(1-Probs_Hombres!AC86)</f>
        <v>37207.287480018851</v>
      </c>
      <c r="AD87">
        <f>+AD86*(1-Probs_Hombres!AD86)</f>
        <v>37207.287444345588</v>
      </c>
      <c r="AE87">
        <f>+AE86*(1-Probs_Hombres!AE86)</f>
        <v>37207.287420125664</v>
      </c>
      <c r="AF87">
        <f>+AF86*(1-Probs_Hombres!AF86)</f>
        <v>37207.287403681803</v>
      </c>
      <c r="AG87">
        <f>+AG86*(1-Probs_Hombres!AG86)</f>
        <v>37207.287392517486</v>
      </c>
      <c r="AH87">
        <f>+AH86*(1-Probs_Hombres!AH86)</f>
        <v>37207.287384937619</v>
      </c>
    </row>
    <row r="88" spans="1:34" x14ac:dyDescent="0.25">
      <c r="A88">
        <f>+Probs_Hombres!A88</f>
        <v>86</v>
      </c>
      <c r="B88">
        <f>+B87*(1-Probs_Hombres!B87)</f>
        <v>33698.000732357141</v>
      </c>
      <c r="C88">
        <f>+C87*(1-Probs_Hombres!C87)</f>
        <v>33687.741263212411</v>
      </c>
      <c r="D88">
        <f>+D87*(1-Probs_Hombres!D87)</f>
        <v>33680.703942519431</v>
      </c>
      <c r="E88">
        <f>+E87*(1-Probs_Hombres!E87)</f>
        <v>33675.892973131471</v>
      </c>
      <c r="F88">
        <f>+F87*(1-Probs_Hombres!F87)</f>
        <v>33672.611389654361</v>
      </c>
      <c r="G88">
        <f>+G87*(1-Probs_Hombres!G87)</f>
        <v>33670.376379311936</v>
      </c>
      <c r="H88">
        <f>+H87*(1-Probs_Hombres!H87)</f>
        <v>33668.855712241522</v>
      </c>
      <c r="I88">
        <f>+I87*(1-Probs_Hombres!I87)</f>
        <v>33667.821783951578</v>
      </c>
      <c r="J88">
        <f>+J87*(1-Probs_Hombres!J87)</f>
        <v>33667.119124657802</v>
      </c>
      <c r="K88">
        <f>+K87*(1-Probs_Hombres!K87)</f>
        <v>33666.641746669993</v>
      </c>
      <c r="L88">
        <f>+L87*(1-Probs_Hombres!L87)</f>
        <v>33666.317491242415</v>
      </c>
      <c r="M88">
        <f>+M87*(1-Probs_Hombres!M87)</f>
        <v>33666.097275062835</v>
      </c>
      <c r="N88">
        <f>+N87*(1-Probs_Hombres!N87)</f>
        <v>33665.947731225497</v>
      </c>
      <c r="O88">
        <f>+O87*(1-Probs_Hombres!O87)</f>
        <v>33665.84618615199</v>
      </c>
      <c r="P88">
        <f>+P87*(1-Probs_Hombres!P87)</f>
        <v>33665.777236902853</v>
      </c>
      <c r="Q88">
        <f>+Q87*(1-Probs_Hombres!Q87)</f>
        <v>33665.730421703025</v>
      </c>
      <c r="R88">
        <f>+R87*(1-Probs_Hombres!R87)</f>
        <v>33665.698635755252</v>
      </c>
      <c r="S88">
        <f>+S87*(1-Probs_Hombres!S87)</f>
        <v>33665.677054470259</v>
      </c>
      <c r="T88">
        <f>+T87*(1-Probs_Hombres!T87)</f>
        <v>33665.662401851048</v>
      </c>
      <c r="U88">
        <f>+U87*(1-Probs_Hombres!U87)</f>
        <v>33665.652453516348</v>
      </c>
      <c r="V88">
        <f>+V87*(1-Probs_Hombres!V87)</f>
        <v>33665.645699165834</v>
      </c>
      <c r="W88">
        <f>+W87*(1-Probs_Hombres!W87)</f>
        <v>33665.641113361897</v>
      </c>
      <c r="X88">
        <f>+X87*(1-Probs_Hombres!X87)</f>
        <v>33665.63799987884</v>
      </c>
      <c r="Y88">
        <f>+Y87*(1-Probs_Hombres!Y87)</f>
        <v>33665.635886015501</v>
      </c>
      <c r="Z88">
        <f>+Z87*(1-Probs_Hombres!Z87)</f>
        <v>33665.634450833757</v>
      </c>
      <c r="AA88">
        <f>+AA87*(1-Probs_Hombres!AA87)</f>
        <v>33665.633476435134</v>
      </c>
      <c r="AB88">
        <f>+AB87*(1-Probs_Hombres!AB87)</f>
        <v>33665.632814879842</v>
      </c>
      <c r="AC88">
        <f>+AC87*(1-Probs_Hombres!AC87)</f>
        <v>33665.632365725542</v>
      </c>
      <c r="AD88">
        <f>+AD87*(1-Probs_Hombres!AD87)</f>
        <v>33665.632060778182</v>
      </c>
      <c r="AE88">
        <f>+AE87*(1-Probs_Hombres!AE87)</f>
        <v>33665.631853738254</v>
      </c>
      <c r="AF88">
        <f>+AF87*(1-Probs_Hombres!AF87)</f>
        <v>33665.631713171228</v>
      </c>
      <c r="AG88">
        <f>+AG87*(1-Probs_Hombres!AG87)</f>
        <v>33665.631617735162</v>
      </c>
      <c r="AH88">
        <f>+AH87*(1-Probs_Hombres!AH87)</f>
        <v>33665.631552940125</v>
      </c>
    </row>
    <row r="89" spans="1:34" x14ac:dyDescent="0.25">
      <c r="A89">
        <f>+Probs_Hombres!A89</f>
        <v>87</v>
      </c>
      <c r="B89">
        <f>+B88*(1-Probs_Hombres!B88)</f>
        <v>30090.311920729058</v>
      </c>
      <c r="C89">
        <f>+C88*(1-Probs_Hombres!C88)</f>
        <v>30069.701647943464</v>
      </c>
      <c r="D89">
        <f>+D88*(1-Probs_Hombres!D88)</f>
        <v>30055.628964428473</v>
      </c>
      <c r="E89">
        <f>+E88*(1-Probs_Hombres!E88)</f>
        <v>30046.037835193565</v>
      </c>
      <c r="F89">
        <f>+F88*(1-Probs_Hombres!F88)</f>
        <v>30039.509173119015</v>
      </c>
      <c r="G89">
        <f>+G88*(1-Probs_Hombres!G88)</f>
        <v>30035.068841526165</v>
      </c>
      <c r="H89">
        <f>+H88*(1-Probs_Hombres!H88)</f>
        <v>30032.050550923006</v>
      </c>
      <c r="I89">
        <f>+I88*(1-Probs_Hombres!I88)</f>
        <v>30029.999669943249</v>
      </c>
      <c r="J89">
        <f>+J88*(1-Probs_Hombres!J88)</f>
        <v>30028.606489992915</v>
      </c>
      <c r="K89">
        <f>+K88*(1-Probs_Hombres!K88)</f>
        <v>30027.660258070857</v>
      </c>
      <c r="L89">
        <f>+L88*(1-Probs_Hombres!L88)</f>
        <v>30027.017664812072</v>
      </c>
      <c r="M89">
        <f>+M88*(1-Probs_Hombres!M88)</f>
        <v>30026.581310189369</v>
      </c>
      <c r="N89">
        <f>+N88*(1-Probs_Hombres!N88)</f>
        <v>30026.285018725423</v>
      </c>
      <c r="O89">
        <f>+O88*(1-Probs_Hombres!O88)</f>
        <v>30026.083839790161</v>
      </c>
      <c r="P89">
        <f>+P88*(1-Probs_Hombres!P88)</f>
        <v>30025.947244766121</v>
      </c>
      <c r="Q89">
        <f>+Q88*(1-Probs_Hombres!Q88)</f>
        <v>30025.85450205431</v>
      </c>
      <c r="R89">
        <f>+R88*(1-Probs_Hombres!R88)</f>
        <v>30025.791534092416</v>
      </c>
      <c r="S89">
        <f>+S88*(1-Probs_Hombres!S88)</f>
        <v>30025.748782131155</v>
      </c>
      <c r="T89">
        <f>+T88*(1-Probs_Hombres!T88)</f>
        <v>30025.719755935617</v>
      </c>
      <c r="U89">
        <f>+U88*(1-Probs_Hombres!U88)</f>
        <v>30025.700048840987</v>
      </c>
      <c r="V89">
        <f>+V88*(1-Probs_Hombres!V88)</f>
        <v>30025.686668905655</v>
      </c>
      <c r="W89">
        <f>+W88*(1-Probs_Hombres!W88)</f>
        <v>30025.677584747431</v>
      </c>
      <c r="X89">
        <f>+X88*(1-Probs_Hombres!X88)</f>
        <v>30025.671417166159</v>
      </c>
      <c r="Y89">
        <f>+Y88*(1-Probs_Hombres!Y88)</f>
        <v>30025.667229763523</v>
      </c>
      <c r="Z89">
        <f>+Z88*(1-Probs_Hombres!Z88)</f>
        <v>30025.664386780019</v>
      </c>
      <c r="AA89">
        <f>+AA88*(1-Probs_Hombres!AA88)</f>
        <v>30025.662456573311</v>
      </c>
      <c r="AB89">
        <f>+AB88*(1-Probs_Hombres!AB88)</f>
        <v>30025.661146084978</v>
      </c>
      <c r="AC89">
        <f>+AC88*(1-Probs_Hombres!AC88)</f>
        <v>30025.660256346353</v>
      </c>
      <c r="AD89">
        <f>+AD88*(1-Probs_Hombres!AD88)</f>
        <v>30025.659652270188</v>
      </c>
      <c r="AE89">
        <f>+AE88*(1-Probs_Hombres!AE88)</f>
        <v>30025.659242140824</v>
      </c>
      <c r="AF89">
        <f>+AF88*(1-Probs_Hombres!AF88)</f>
        <v>30025.658963688977</v>
      </c>
      <c r="AG89">
        <f>+AG88*(1-Probs_Hombres!AG88)</f>
        <v>30025.658774637868</v>
      </c>
      <c r="AH89">
        <f>+AH88*(1-Probs_Hombres!AH88)</f>
        <v>30025.658646284148</v>
      </c>
    </row>
    <row r="90" spans="1:34" x14ac:dyDescent="0.25">
      <c r="A90">
        <f>+Probs_Hombres!A90</f>
        <v>88</v>
      </c>
      <c r="B90">
        <f>+B89*(1-Probs_Hombres!B89)</f>
        <v>26364.602052250397</v>
      </c>
      <c r="C90">
        <f>+C89*(1-Probs_Hombres!C89)</f>
        <v>26331.359175012869</v>
      </c>
      <c r="D90">
        <f>+D89*(1-Probs_Hombres!D89)</f>
        <v>26308.698624201439</v>
      </c>
      <c r="E90">
        <f>+E89*(1-Probs_Hombres!E89)</f>
        <v>26293.271771223317</v>
      </c>
      <c r="F90">
        <f>+F89*(1-Probs_Hombres!F89)</f>
        <v>26282.778676629281</v>
      </c>
      <c r="G90">
        <f>+G89*(1-Probs_Hombres!G89)</f>
        <v>26275.645667775716</v>
      </c>
      <c r="H90">
        <f>+H89*(1-Probs_Hombres!H89)</f>
        <v>26270.798723544231</v>
      </c>
      <c r="I90">
        <f>+I89*(1-Probs_Hombres!I89)</f>
        <v>26267.506074140449</v>
      </c>
      <c r="J90">
        <f>+J89*(1-Probs_Hombres!J89)</f>
        <v>26265.269706934454</v>
      </c>
      <c r="K90">
        <f>+K89*(1-Probs_Hombres!K89)</f>
        <v>26263.750955879514</v>
      </c>
      <c r="L90">
        <f>+L89*(1-Probs_Hombres!L89)</f>
        <v>26262.719636128419</v>
      </c>
      <c r="M90">
        <f>+M89*(1-Probs_Hombres!M89)</f>
        <v>26262.019350603005</v>
      </c>
      <c r="N90">
        <f>+N89*(1-Probs_Hombres!N89)</f>
        <v>26261.54386207218</v>
      </c>
      <c r="O90">
        <f>+O89*(1-Probs_Hombres!O89)</f>
        <v>26261.221017523163</v>
      </c>
      <c r="P90">
        <f>+P89*(1-Probs_Hombres!P89)</f>
        <v>26261.001818267723</v>
      </c>
      <c r="Q90">
        <f>+Q89*(1-Probs_Hombres!Q89)</f>
        <v>26260.852992065596</v>
      </c>
      <c r="R90">
        <f>+R89*(1-Probs_Hombres!R89)</f>
        <v>26260.75194676251</v>
      </c>
      <c r="S90">
        <f>+S89*(1-Probs_Hombres!S89)</f>
        <v>26260.683342606942</v>
      </c>
      <c r="T90">
        <f>+T89*(1-Probs_Hombres!T89)</f>
        <v>26260.636764368403</v>
      </c>
      <c r="U90">
        <f>+U89*(1-Probs_Hombres!U89)</f>
        <v>26260.605140530701</v>
      </c>
      <c r="V90">
        <f>+V89*(1-Probs_Hombres!V89)</f>
        <v>26260.583669874286</v>
      </c>
      <c r="W90">
        <f>+W89*(1-Probs_Hombres!W89)</f>
        <v>26260.569092626029</v>
      </c>
      <c r="X90">
        <f>+X89*(1-Probs_Hombres!X89)</f>
        <v>26260.559195583559</v>
      </c>
      <c r="Y90">
        <f>+Y89*(1-Probs_Hombres!Y89)</f>
        <v>26260.552476112756</v>
      </c>
      <c r="Z90">
        <f>+Z89*(1-Probs_Hombres!Z89)</f>
        <v>26260.54791401542</v>
      </c>
      <c r="AA90">
        <f>+AA89*(1-Probs_Hombres!AA89)</f>
        <v>26260.544816639456</v>
      </c>
      <c r="AB90">
        <f>+AB89*(1-Probs_Hombres!AB89)</f>
        <v>26260.542713717226</v>
      </c>
      <c r="AC90">
        <f>+AC89*(1-Probs_Hombres!AC89)</f>
        <v>26260.541285966327</v>
      </c>
      <c r="AD90">
        <f>+AD89*(1-Probs_Hombres!AD89)</f>
        <v>26260.540316613969</v>
      </c>
      <c r="AE90">
        <f>+AE89*(1-Probs_Hombres!AE89)</f>
        <v>26260.539658485268</v>
      </c>
      <c r="AF90">
        <f>+AF89*(1-Probs_Hombres!AF89)</f>
        <v>26260.539211657622</v>
      </c>
      <c r="AG90">
        <f>+AG89*(1-Probs_Hombres!AG89)</f>
        <v>26260.538908290062</v>
      </c>
      <c r="AH90">
        <f>+AH89*(1-Probs_Hombres!AH89)</f>
        <v>26260.538702322719</v>
      </c>
    </row>
    <row r="91" spans="1:34" x14ac:dyDescent="0.25">
      <c r="A91">
        <f>+Probs_Hombres!A91</f>
        <v>89</v>
      </c>
      <c r="B91">
        <f>+B90*(1-Probs_Hombres!B90)</f>
        <v>22678.089068244102</v>
      </c>
      <c r="C91">
        <f>+C90*(1-Probs_Hombres!C90)</f>
        <v>22631.00430510271</v>
      </c>
      <c r="D91">
        <f>+D90*(1-Probs_Hombres!D90)</f>
        <v>22598.936555470558</v>
      </c>
      <c r="E91">
        <f>+E90*(1-Probs_Hombres!E90)</f>
        <v>22577.118517310999</v>
      </c>
      <c r="F91">
        <f>+F90*(1-Probs_Hombres!F90)</f>
        <v>22562.284251785375</v>
      </c>
      <c r="G91">
        <f>+G90*(1-Probs_Hombres!G90)</f>
        <v>22552.202964669003</v>
      </c>
      <c r="H91">
        <f>+H90*(1-Probs_Hombres!H90)</f>
        <v>22545.353914134786</v>
      </c>
      <c r="I91">
        <f>+I90*(1-Probs_Hombres!I90)</f>
        <v>22540.701772068747</v>
      </c>
      <c r="J91">
        <f>+J90*(1-Probs_Hombres!J90)</f>
        <v>22537.542308452921</v>
      </c>
      <c r="K91">
        <f>+K90*(1-Probs_Hombres!K90)</f>
        <v>22535.396793411252</v>
      </c>
      <c r="L91">
        <f>+L90*(1-Probs_Hombres!L90)</f>
        <v>22533.939922233083</v>
      </c>
      <c r="M91">
        <f>+M90*(1-Probs_Hombres!M90)</f>
        <v>22532.950705802887</v>
      </c>
      <c r="N91">
        <f>+N90*(1-Probs_Hombres!N90)</f>
        <v>22532.279047617732</v>
      </c>
      <c r="O91">
        <f>+O90*(1-Probs_Hombres!O90)</f>
        <v>22531.823014527297</v>
      </c>
      <c r="P91">
        <f>+P90*(1-Probs_Hombres!P90)</f>
        <v>22531.513387880284</v>
      </c>
      <c r="Q91">
        <f>+Q90*(1-Probs_Hombres!Q90)</f>
        <v>22531.303166840153</v>
      </c>
      <c r="R91">
        <f>+R90*(1-Probs_Hombres!R90)</f>
        <v>22531.160438165589</v>
      </c>
      <c r="S91">
        <f>+S90*(1-Probs_Hombres!S90)</f>
        <v>22531.063533567431</v>
      </c>
      <c r="T91">
        <f>+T90*(1-Probs_Hombres!T90)</f>
        <v>22530.997741088831</v>
      </c>
      <c r="U91">
        <f>+U90*(1-Probs_Hombres!U90)</f>
        <v>22530.953071985532</v>
      </c>
      <c r="V91">
        <f>+V90*(1-Probs_Hombres!V90)</f>
        <v>22530.922744414613</v>
      </c>
      <c r="W91">
        <f>+W90*(1-Probs_Hombres!W90)</f>
        <v>22530.902153880412</v>
      </c>
      <c r="X91">
        <f>+X90*(1-Probs_Hombres!X90)</f>
        <v>22530.888174197182</v>
      </c>
      <c r="Y91">
        <f>+Y90*(1-Probs_Hombres!Y90)</f>
        <v>22530.878682871888</v>
      </c>
      <c r="Z91">
        <f>+Z90*(1-Probs_Hombres!Z90)</f>
        <v>22530.872238861106</v>
      </c>
      <c r="AA91">
        <f>+AA90*(1-Probs_Hombres!AA90)</f>
        <v>22530.867863785308</v>
      </c>
      <c r="AB91">
        <f>+AB90*(1-Probs_Hombres!AB90)</f>
        <v>22530.864893385999</v>
      </c>
      <c r="AC91">
        <f>+AC90*(1-Probs_Hombres!AC90)</f>
        <v>22530.862876673225</v>
      </c>
      <c r="AD91">
        <f>+AD90*(1-Probs_Hombres!AD90)</f>
        <v>22530.86150745317</v>
      </c>
      <c r="AE91">
        <f>+AE90*(1-Probs_Hombres!AE90)</f>
        <v>22530.8605778397</v>
      </c>
      <c r="AF91">
        <f>+AF90*(1-Probs_Hombres!AF90)</f>
        <v>22530.859946691136</v>
      </c>
      <c r="AG91">
        <f>+AG90*(1-Probs_Hombres!AG90)</f>
        <v>22530.859518181391</v>
      </c>
      <c r="AH91">
        <f>+AH90*(1-Probs_Hombres!AH90)</f>
        <v>22530.859227250439</v>
      </c>
    </row>
    <row r="92" spans="1:34" x14ac:dyDescent="0.25">
      <c r="A92">
        <f>+Probs_Hombres!A92</f>
        <v>90</v>
      </c>
      <c r="B92">
        <f>+B91*(1-Probs_Hombres!B91)</f>
        <v>19389.256321738747</v>
      </c>
      <c r="C92">
        <f>+C91*(1-Probs_Hombres!C91)</f>
        <v>19330.577581954833</v>
      </c>
      <c r="D92">
        <f>+D91*(1-Probs_Hombres!D91)</f>
        <v>19290.642439786578</v>
      </c>
      <c r="E92">
        <f>+E91*(1-Probs_Hombres!E91)</f>
        <v>19263.484970887981</v>
      </c>
      <c r="F92">
        <f>+F91*(1-Probs_Hombres!F91)</f>
        <v>19245.026538367139</v>
      </c>
      <c r="G92">
        <f>+G91*(1-Probs_Hombres!G91)</f>
        <v>19232.485128019096</v>
      </c>
      <c r="H92">
        <f>+H91*(1-Probs_Hombres!H91)</f>
        <v>19223.966023412893</v>
      </c>
      <c r="I92">
        <f>+I91*(1-Probs_Hombres!I91)</f>
        <v>19218.180120047302</v>
      </c>
      <c r="J92">
        <f>+J91*(1-Probs_Hombres!J91)</f>
        <v>19214.250950628582</v>
      </c>
      <c r="K92">
        <f>+K91*(1-Probs_Hombres!K91)</f>
        <v>19211.582875590386</v>
      </c>
      <c r="L92">
        <f>+L91*(1-Probs_Hombres!L91)</f>
        <v>19209.771229242677</v>
      </c>
      <c r="M92">
        <f>+M91*(1-Probs_Hombres!M91)</f>
        <v>19208.541147570806</v>
      </c>
      <c r="N92">
        <f>+N91*(1-Probs_Hombres!N91)</f>
        <v>19207.705959293835</v>
      </c>
      <c r="O92">
        <f>+O91*(1-Probs_Hombres!O91)</f>
        <v>19207.138900631635</v>
      </c>
      <c r="P92">
        <f>+P91*(1-Probs_Hombres!P91)</f>
        <v>19206.753895123158</v>
      </c>
      <c r="Q92">
        <f>+Q91*(1-Probs_Hombres!Q91)</f>
        <v>19206.492496831757</v>
      </c>
      <c r="R92">
        <f>+R91*(1-Probs_Hombres!R91)</f>
        <v>19206.315022150313</v>
      </c>
      <c r="S92">
        <f>+S91*(1-Probs_Hombres!S91)</f>
        <v>19206.19452726495</v>
      </c>
      <c r="T92">
        <f>+T91*(1-Probs_Hombres!T91)</f>
        <v>19206.11271850039</v>
      </c>
      <c r="U92">
        <f>+U91*(1-Probs_Hombres!U91)</f>
        <v>19206.057175365848</v>
      </c>
      <c r="V92">
        <f>+V91*(1-Probs_Hombres!V91)</f>
        <v>19206.019465022884</v>
      </c>
      <c r="W92">
        <f>+W91*(1-Probs_Hombres!W91)</f>
        <v>19205.993862057509</v>
      </c>
      <c r="X92">
        <f>+X91*(1-Probs_Hombres!X91)</f>
        <v>19205.976479252895</v>
      </c>
      <c r="Y92">
        <f>+Y91*(1-Probs_Hombres!Y91)</f>
        <v>19205.964677424803</v>
      </c>
      <c r="Z92">
        <f>+Z91*(1-Probs_Hombres!Z91)</f>
        <v>19205.956664729616</v>
      </c>
      <c r="AA92">
        <f>+AA91*(1-Probs_Hombres!AA91)</f>
        <v>19205.951224616878</v>
      </c>
      <c r="AB92">
        <f>+AB91*(1-Probs_Hombres!AB91)</f>
        <v>19205.947531125199</v>
      </c>
      <c r="AC92">
        <f>+AC91*(1-Probs_Hombres!AC91)</f>
        <v>19205.945023478645</v>
      </c>
      <c r="AD92">
        <f>+AD91*(1-Probs_Hombres!AD91)</f>
        <v>19205.943320945764</v>
      </c>
      <c r="AE92">
        <f>+AE91*(1-Probs_Hombres!AE91)</f>
        <v>19205.942165034066</v>
      </c>
      <c r="AF92">
        <f>+AF91*(1-Probs_Hombres!AF91)</f>
        <v>19205.941380243381</v>
      </c>
      <c r="AG92">
        <f>+AG91*(1-Probs_Hombres!AG91)</f>
        <v>19205.940847420392</v>
      </c>
      <c r="AH92">
        <f>+AH91*(1-Probs_Hombres!AH91)</f>
        <v>19205.94048566739</v>
      </c>
    </row>
    <row r="93" spans="1:34" x14ac:dyDescent="0.25">
      <c r="A93">
        <f>+Probs_Hombres!A93</f>
        <v>91</v>
      </c>
      <c r="B93">
        <f>+B92*(1-Probs_Hombres!B92)</f>
        <v>16530.521172404184</v>
      </c>
      <c r="C93">
        <f>+C92*(1-Probs_Hombres!C92)</f>
        <v>16463.940965087888</v>
      </c>
      <c r="D93">
        <f>+D92*(1-Probs_Hombres!D92)</f>
        <v>16418.66254339314</v>
      </c>
      <c r="E93">
        <f>+E92*(1-Probs_Hombres!E92)</f>
        <v>16387.88728225667</v>
      </c>
      <c r="F93">
        <f>+F92*(1-Probs_Hombres!F92)</f>
        <v>16366.977228265578</v>
      </c>
      <c r="G93">
        <f>+G92*(1-Probs_Hombres!G92)</f>
        <v>16352.77346952305</v>
      </c>
      <c r="H93">
        <f>+H92*(1-Probs_Hombres!H92)</f>
        <v>16343.1267295669</v>
      </c>
      <c r="I93">
        <f>+I92*(1-Probs_Hombres!I92)</f>
        <v>16336.575692698952</v>
      </c>
      <c r="J93">
        <f>+J92*(1-Probs_Hombres!J92)</f>
        <v>16332.127258333952</v>
      </c>
      <c r="K93">
        <f>+K92*(1-Probs_Hombres!K92)</f>
        <v>16329.106733275152</v>
      </c>
      <c r="L93">
        <f>+L92*(1-Probs_Hombres!L92)</f>
        <v>16327.055840916064</v>
      </c>
      <c r="M93">
        <f>+M92*(1-Probs_Hombres!M92)</f>
        <v>16325.663347231581</v>
      </c>
      <c r="N93">
        <f>+N92*(1-Probs_Hombres!N92)</f>
        <v>16324.71790112167</v>
      </c>
      <c r="O93">
        <f>+O92*(1-Probs_Hombres!O92)</f>
        <v>16324.075988824696</v>
      </c>
      <c r="P93">
        <f>+P92*(1-Probs_Hombres!P92)</f>
        <v>16323.640164495744</v>
      </c>
      <c r="Q93">
        <f>+Q92*(1-Probs_Hombres!Q92)</f>
        <v>16323.344264395288</v>
      </c>
      <c r="R93">
        <f>+R92*(1-Probs_Hombres!R92)</f>
        <v>16323.143365611446</v>
      </c>
      <c r="S93">
        <f>+S92*(1-Probs_Hombres!S92)</f>
        <v>16323.006967448844</v>
      </c>
      <c r="T93">
        <f>+T92*(1-Probs_Hombres!T92)</f>
        <v>16322.914361461651</v>
      </c>
      <c r="U93">
        <f>+U92*(1-Probs_Hombres!U92)</f>
        <v>16322.851487741447</v>
      </c>
      <c r="V93">
        <f>+V92*(1-Probs_Hombres!V92)</f>
        <v>16322.808800416164</v>
      </c>
      <c r="W93">
        <f>+W92*(1-Probs_Hombres!W92)</f>
        <v>16322.779818405012</v>
      </c>
      <c r="X93">
        <f>+X92*(1-Probs_Hombres!X92)</f>
        <v>16322.76014144719</v>
      </c>
      <c r="Y93">
        <f>+Y92*(1-Probs_Hombres!Y92)</f>
        <v>16322.746782036731</v>
      </c>
      <c r="Z93">
        <f>+Z92*(1-Probs_Hombres!Z92)</f>
        <v>16322.73771184297</v>
      </c>
      <c r="AA93">
        <f>+AA92*(1-Probs_Hombres!AA92)</f>
        <v>16322.731553756314</v>
      </c>
      <c r="AB93">
        <f>+AB92*(1-Probs_Hombres!AB92)</f>
        <v>16322.727372806126</v>
      </c>
      <c r="AC93">
        <f>+AC92*(1-Probs_Hombres!AC92)</f>
        <v>16322.7245342063</v>
      </c>
      <c r="AD93">
        <f>+AD92*(1-Probs_Hombres!AD92)</f>
        <v>16322.722606977222</v>
      </c>
      <c r="AE93">
        <f>+AE92*(1-Probs_Hombres!AE92)</f>
        <v>16322.721298511096</v>
      </c>
      <c r="AF93">
        <f>+AF92*(1-Probs_Hombres!AF92)</f>
        <v>16322.720410145663</v>
      </c>
      <c r="AG93">
        <f>+AG92*(1-Probs_Hombres!AG92)</f>
        <v>16322.719807001991</v>
      </c>
      <c r="AH93">
        <f>+AH92*(1-Probs_Hombres!AH92)</f>
        <v>16322.719397505733</v>
      </c>
    </row>
    <row r="94" spans="1:34" x14ac:dyDescent="0.25">
      <c r="A94">
        <f>+Probs_Hombres!A94</f>
        <v>92</v>
      </c>
      <c r="B94">
        <f>+B93*(1-Probs_Hombres!B93)</f>
        <v>13873.222093663191</v>
      </c>
      <c r="C94">
        <f>+C93*(1-Probs_Hombres!C93)</f>
        <v>13800.591733620411</v>
      </c>
      <c r="D94">
        <f>+D93*(1-Probs_Hombres!D93)</f>
        <v>13751.240090497673</v>
      </c>
      <c r="E94">
        <f>+E93*(1-Probs_Hombres!E93)</f>
        <v>13717.715407803511</v>
      </c>
      <c r="F94">
        <f>+F93*(1-Probs_Hombres!F93)</f>
        <v>13694.946113125052</v>
      </c>
      <c r="G94">
        <f>+G93*(1-Probs_Hombres!G93)</f>
        <v>13679.483493960506</v>
      </c>
      <c r="H94">
        <f>+H93*(1-Probs_Hombres!H93)</f>
        <v>13668.983661011098</v>
      </c>
      <c r="I94">
        <f>+I93*(1-Probs_Hombres!I93)</f>
        <v>13661.854164139651</v>
      </c>
      <c r="J94">
        <f>+J93*(1-Probs_Hombres!J93)</f>
        <v>13657.013331894717</v>
      </c>
      <c r="K94">
        <f>+K93*(1-Probs_Hombres!K93)</f>
        <v>13653.726550346348</v>
      </c>
      <c r="L94">
        <f>+L93*(1-Probs_Hombres!L93)</f>
        <v>13651.49495904407</v>
      </c>
      <c r="M94">
        <f>+M93*(1-Probs_Hombres!M93)</f>
        <v>13649.979815597904</v>
      </c>
      <c r="N94">
        <f>+N93*(1-Probs_Hombres!N93)</f>
        <v>13648.951113465158</v>
      </c>
      <c r="O94">
        <f>+O93*(1-Probs_Hombres!O93)</f>
        <v>13648.252682705954</v>
      </c>
      <c r="P94">
        <f>+P93*(1-Probs_Hombres!P93)</f>
        <v>13647.778489199549</v>
      </c>
      <c r="Q94">
        <f>+Q93*(1-Probs_Hombres!Q93)</f>
        <v>13647.456540371692</v>
      </c>
      <c r="R94">
        <f>+R93*(1-Probs_Hombres!R93)</f>
        <v>13647.237956851324</v>
      </c>
      <c r="S94">
        <f>+S93*(1-Probs_Hombres!S93)</f>
        <v>13647.089552196318</v>
      </c>
      <c r="T94">
        <f>+T93*(1-Probs_Hombres!T93)</f>
        <v>13646.988794711153</v>
      </c>
      <c r="U94">
        <f>+U93*(1-Probs_Hombres!U93)</f>
        <v>13646.920386709749</v>
      </c>
      <c r="V94">
        <f>+V93*(1-Probs_Hombres!V93)</f>
        <v>13646.873941990521</v>
      </c>
      <c r="W94">
        <f>+W93*(1-Probs_Hombres!W93)</f>
        <v>13646.842408962042</v>
      </c>
      <c r="X94">
        <f>+X93*(1-Probs_Hombres!X93)</f>
        <v>13646.821000032189</v>
      </c>
      <c r="Y94">
        <f>+Y93*(1-Probs_Hombres!Y93)</f>
        <v>13646.806464725851</v>
      </c>
      <c r="Z94">
        <f>+Z93*(1-Probs_Hombres!Z93)</f>
        <v>13646.796596174901</v>
      </c>
      <c r="AA94">
        <f>+AA93*(1-Probs_Hombres!AA93)</f>
        <v>13646.789896055085</v>
      </c>
      <c r="AB94">
        <f>+AB93*(1-Probs_Hombres!AB93)</f>
        <v>13646.785347099127</v>
      </c>
      <c r="AC94">
        <f>+AC93*(1-Probs_Hombres!AC93)</f>
        <v>13646.78225864691</v>
      </c>
      <c r="AD94">
        <f>+AD93*(1-Probs_Hombres!AD93)</f>
        <v>13646.780161783983</v>
      </c>
      <c r="AE94">
        <f>+AE93*(1-Probs_Hombres!AE93)</f>
        <v>13646.778738147294</v>
      </c>
      <c r="AF94">
        <f>+AF93*(1-Probs_Hombres!AF93)</f>
        <v>13646.777771588371</v>
      </c>
      <c r="AG94">
        <f>+AG93*(1-Probs_Hombres!AG93)</f>
        <v>13646.777115356297</v>
      </c>
      <c r="AH94">
        <f>+AH93*(1-Probs_Hombres!AH93)</f>
        <v>13646.776669816389</v>
      </c>
    </row>
    <row r="95" spans="1:34" x14ac:dyDescent="0.25">
      <c r="A95">
        <f>+Probs_Hombres!A95</f>
        <v>93</v>
      </c>
      <c r="B95">
        <f>+B94*(1-Probs_Hombres!B94)</f>
        <v>11377.013767757373</v>
      </c>
      <c r="C95">
        <f>+C94*(1-Probs_Hombres!C94)</f>
        <v>11300.012184596895</v>
      </c>
      <c r="D95">
        <f>+D94*(1-Probs_Hombres!D94)</f>
        <v>11247.742153215</v>
      </c>
      <c r="E95">
        <f>+E94*(1-Probs_Hombres!E94)</f>
        <v>11212.259027010032</v>
      </c>
      <c r="F95">
        <f>+F94*(1-Probs_Hombres!F94)</f>
        <v>11188.17071440311</v>
      </c>
      <c r="G95">
        <f>+G94*(1-Probs_Hombres!G94)</f>
        <v>11171.817489171945</v>
      </c>
      <c r="H95">
        <f>+H94*(1-Probs_Hombres!H94)</f>
        <v>11160.715266457284</v>
      </c>
      <c r="I95">
        <f>+I94*(1-Probs_Hombres!I94)</f>
        <v>11153.177835756678</v>
      </c>
      <c r="J95">
        <f>+J94*(1-Probs_Hombres!J94)</f>
        <v>11148.06052717789</v>
      </c>
      <c r="K95">
        <f>+K94*(1-Probs_Hombres!K94)</f>
        <v>11144.586259419977</v>
      </c>
      <c r="L95">
        <f>+L94*(1-Probs_Hombres!L94)</f>
        <v>11142.227480043366</v>
      </c>
      <c r="M95">
        <f>+M94*(1-Probs_Hombres!M94)</f>
        <v>11140.626031540345</v>
      </c>
      <c r="N95">
        <f>+N94*(1-Probs_Hombres!N94)</f>
        <v>11139.538755687956</v>
      </c>
      <c r="O95">
        <f>+O94*(1-Probs_Hombres!O94)</f>
        <v>11138.800567205268</v>
      </c>
      <c r="P95">
        <f>+P94*(1-Probs_Hombres!P94)</f>
        <v>11138.299385391712</v>
      </c>
      <c r="Q95">
        <f>+Q94*(1-Probs_Hombres!Q94)</f>
        <v>11137.959115366722</v>
      </c>
      <c r="R95">
        <f>+R94*(1-Probs_Hombres!R94)</f>
        <v>11137.728093908047</v>
      </c>
      <c r="S95">
        <f>+S94*(1-Probs_Hombres!S94)</f>
        <v>11137.571245139765</v>
      </c>
      <c r="T95">
        <f>+T94*(1-Probs_Hombres!T94)</f>
        <v>11137.464754848665</v>
      </c>
      <c r="U95">
        <f>+U94*(1-Probs_Hombres!U94)</f>
        <v>11137.392454733283</v>
      </c>
      <c r="V95">
        <f>+V94*(1-Probs_Hombres!V94)</f>
        <v>11137.343367560665</v>
      </c>
      <c r="W95">
        <f>+W94*(1-Probs_Hombres!W94)</f>
        <v>11137.31004049484</v>
      </c>
      <c r="X95">
        <f>+X94*(1-Probs_Hombres!X94)</f>
        <v>11137.287413537117</v>
      </c>
      <c r="Y95">
        <f>+Y94*(1-Probs_Hombres!Y94)</f>
        <v>11137.272051271624</v>
      </c>
      <c r="Z95">
        <f>+Z94*(1-Probs_Hombres!Z94)</f>
        <v>11137.261621269963</v>
      </c>
      <c r="AA95">
        <f>+AA94*(1-Probs_Hombres!AA94)</f>
        <v>11137.254539961723</v>
      </c>
      <c r="AB95">
        <f>+AB94*(1-Probs_Hombres!AB94)</f>
        <v>11137.249732203472</v>
      </c>
      <c r="AC95">
        <f>+AC94*(1-Probs_Hombres!AC94)</f>
        <v>11137.246468041138</v>
      </c>
      <c r="AD95">
        <f>+AD94*(1-Probs_Hombres!AD94)</f>
        <v>11137.244251882299</v>
      </c>
      <c r="AE95">
        <f>+AE94*(1-Probs_Hombres!AE94)</f>
        <v>11137.242747251297</v>
      </c>
      <c r="AF95">
        <f>+AF94*(1-Probs_Hombres!AF94)</f>
        <v>11137.241725702412</v>
      </c>
      <c r="AG95">
        <f>+AG94*(1-Probs_Hombres!AG94)</f>
        <v>11137.241032135644</v>
      </c>
      <c r="AH95">
        <f>+AH94*(1-Probs_Hombres!AH94)</f>
        <v>11137.240561247861</v>
      </c>
    </row>
    <row r="96" spans="1:34" x14ac:dyDescent="0.25">
      <c r="A96">
        <f>+Probs_Hombres!A96</f>
        <v>94</v>
      </c>
      <c r="B96">
        <f>+B95*(1-Probs_Hombres!B95)</f>
        <v>9193.0119722070558</v>
      </c>
      <c r="C96">
        <f>+C95*(1-Probs_Hombres!C95)</f>
        <v>9115.0195482838335</v>
      </c>
      <c r="D96">
        <f>+D95*(1-Probs_Hombres!D95)</f>
        <v>9062.1395119246754</v>
      </c>
      <c r="E96">
        <f>+E95*(1-Probs_Hombres!E95)</f>
        <v>9026.2712943192619</v>
      </c>
      <c r="F96">
        <f>+F95*(1-Probs_Hombres!F95)</f>
        <v>9001.9349742009945</v>
      </c>
      <c r="G96">
        <f>+G95*(1-Probs_Hombres!G95)</f>
        <v>8985.4195802206359</v>
      </c>
      <c r="H96">
        <f>+H95*(1-Probs_Hombres!H95)</f>
        <v>8974.2101236360486</v>
      </c>
      <c r="I96">
        <f>+I95*(1-Probs_Hombres!I95)</f>
        <v>8966.6012116185793</v>
      </c>
      <c r="J96">
        <f>+J95*(1-Probs_Hombres!J95)</f>
        <v>8961.4359823747673</v>
      </c>
      <c r="K96">
        <f>+K95*(1-Probs_Hombres!K95)</f>
        <v>8957.9294611351233</v>
      </c>
      <c r="L96">
        <f>+L95*(1-Probs_Hombres!L95)</f>
        <v>8955.5489135455173</v>
      </c>
      <c r="M96">
        <f>+M95*(1-Probs_Hombres!M95)</f>
        <v>8953.9327456787105</v>
      </c>
      <c r="N96">
        <f>+N95*(1-Probs_Hombres!N95)</f>
        <v>8952.8355039151502</v>
      </c>
      <c r="O96">
        <f>+O95*(1-Probs_Hombres!O95)</f>
        <v>8952.0905619364221</v>
      </c>
      <c r="P96">
        <f>+P95*(1-Probs_Hombres!P95)</f>
        <v>8951.5848007939621</v>
      </c>
      <c r="Q96">
        <f>+Q95*(1-Probs_Hombres!Q95)</f>
        <v>8951.2414243996154</v>
      </c>
      <c r="R96">
        <f>+R95*(1-Probs_Hombres!R95)</f>
        <v>8951.0082951599798</v>
      </c>
      <c r="S96">
        <f>+S95*(1-Probs_Hombres!S95)</f>
        <v>8950.850015916918</v>
      </c>
      <c r="T96">
        <f>+T95*(1-Probs_Hombres!T95)</f>
        <v>8950.7425546891918</v>
      </c>
      <c r="U96">
        <f>+U95*(1-Probs_Hombres!U95)</f>
        <v>8950.6695954916231</v>
      </c>
      <c r="V96">
        <f>+V95*(1-Probs_Hombres!V95)</f>
        <v>8950.6200609003481</v>
      </c>
      <c r="W96">
        <f>+W95*(1-Probs_Hombres!W95)</f>
        <v>8950.5864300916146</v>
      </c>
      <c r="X96">
        <f>+X95*(1-Probs_Hombres!X95)</f>
        <v>8950.5635969237283</v>
      </c>
      <c r="Y96">
        <f>+Y95*(1-Probs_Hombres!Y95)</f>
        <v>8950.5480946601438</v>
      </c>
      <c r="Z96">
        <f>+Z95*(1-Probs_Hombres!Z95)</f>
        <v>8950.537569611206</v>
      </c>
      <c r="AA96">
        <f>+AA95*(1-Probs_Hombres!AA95)</f>
        <v>8950.530423773087</v>
      </c>
      <c r="AB96">
        <f>+AB95*(1-Probs_Hombres!AB95)</f>
        <v>8950.5255722036745</v>
      </c>
      <c r="AC96">
        <f>+AC95*(1-Probs_Hombres!AC95)</f>
        <v>8950.522278296603</v>
      </c>
      <c r="AD96">
        <f>+AD95*(1-Probs_Hombres!AD95)</f>
        <v>8950.5200419430876</v>
      </c>
      <c r="AE96">
        <f>+AE95*(1-Probs_Hombres!AE95)</f>
        <v>8950.5185236012385</v>
      </c>
      <c r="AF96">
        <f>+AF95*(1-Probs_Hombres!AF95)</f>
        <v>8950.5174927435855</v>
      </c>
      <c r="AG96">
        <f>+AG95*(1-Probs_Hombres!AG95)</f>
        <v>8950.5167928567625</v>
      </c>
      <c r="AH96">
        <f>+AH95*(1-Probs_Hombres!AH95)</f>
        <v>8950.5163176780716</v>
      </c>
    </row>
    <row r="97" spans="1:34" x14ac:dyDescent="0.25">
      <c r="A97">
        <f>+Probs_Hombres!A97</f>
        <v>95</v>
      </c>
      <c r="B97">
        <f>+B96*(1-Probs_Hombres!B96)</f>
        <v>7366.12729149195</v>
      </c>
      <c r="C97">
        <f>+C96*(1-Probs_Hombres!C96)</f>
        <v>7290.7394040277768</v>
      </c>
      <c r="D97">
        <f>+D96*(1-Probs_Hombres!D96)</f>
        <v>7239.6928268851852</v>
      </c>
      <c r="E97">
        <f>+E96*(1-Probs_Hombres!E96)</f>
        <v>7205.099492809396</v>
      </c>
      <c r="F97">
        <f>+F96*(1-Probs_Hombres!F96)</f>
        <v>7181.6426194215828</v>
      </c>
      <c r="G97">
        <f>+G96*(1-Probs_Hombres!G96)</f>
        <v>7165.7307175549549</v>
      </c>
      <c r="H97">
        <f>+H96*(1-Probs_Hombres!H96)</f>
        <v>7154.9339470304176</v>
      </c>
      <c r="I97">
        <f>+I96*(1-Probs_Hombres!I96)</f>
        <v>7147.6065843959614</v>
      </c>
      <c r="J97">
        <f>+J96*(1-Probs_Hombres!J96)</f>
        <v>7142.63313714789</v>
      </c>
      <c r="K97">
        <f>+K96*(1-Probs_Hombres!K96)</f>
        <v>7139.2571131535851</v>
      </c>
      <c r="L97">
        <f>+L96*(1-Probs_Hombres!L96)</f>
        <v>7136.965298341599</v>
      </c>
      <c r="M97">
        <f>+M96*(1-Probs_Hombres!M96)</f>
        <v>7135.4094359068085</v>
      </c>
      <c r="N97">
        <f>+N96*(1-Probs_Hombres!N96)</f>
        <v>7134.3531660563931</v>
      </c>
      <c r="O97">
        <f>+O96*(1-Probs_Hombres!O96)</f>
        <v>7133.636054474945</v>
      </c>
      <c r="P97">
        <f>+P96*(1-Probs_Hombres!P96)</f>
        <v>7133.1491944294785</v>
      </c>
      <c r="Q97">
        <f>+Q96*(1-Probs_Hombres!Q96)</f>
        <v>7132.8186534566057</v>
      </c>
      <c r="R97">
        <f>+R96*(1-Probs_Hombres!R96)</f>
        <v>7132.5942399329879</v>
      </c>
      <c r="S97">
        <f>+S96*(1-Probs_Hombres!S96)</f>
        <v>7132.4418786975075</v>
      </c>
      <c r="T97">
        <f>+T96*(1-Probs_Hombres!T96)</f>
        <v>7132.3384356929828</v>
      </c>
      <c r="U97">
        <f>+U96*(1-Probs_Hombres!U96)</f>
        <v>7132.2682047390645</v>
      </c>
      <c r="V97">
        <f>+V96*(1-Probs_Hombres!V96)</f>
        <v>7132.2205225096932</v>
      </c>
      <c r="W97">
        <f>+W96*(1-Probs_Hombres!W96)</f>
        <v>7132.1881493636474</v>
      </c>
      <c r="X97">
        <f>+X96*(1-Probs_Hombres!X96)</f>
        <v>7132.1661700811055</v>
      </c>
      <c r="Y97">
        <f>+Y96*(1-Probs_Hombres!Y96)</f>
        <v>7132.1512475570844</v>
      </c>
      <c r="Z97">
        <f>+Z96*(1-Probs_Hombres!Z96)</f>
        <v>7132.1411161170781</v>
      </c>
      <c r="AA97">
        <f>+AA96*(1-Probs_Hombres!AA96)</f>
        <v>7132.1342375156273</v>
      </c>
      <c r="AB97">
        <f>+AB96*(1-Probs_Hombres!AB96)</f>
        <v>7132.1295673834793</v>
      </c>
      <c r="AC97">
        <f>+AC96*(1-Probs_Hombres!AC96)</f>
        <v>7132.1263966610468</v>
      </c>
      <c r="AD97">
        <f>+AD96*(1-Probs_Hombres!AD96)</f>
        <v>7132.1242439421931</v>
      </c>
      <c r="AE97">
        <f>+AE96*(1-Probs_Hombres!AE96)</f>
        <v>7132.1227823830104</v>
      </c>
      <c r="AF97">
        <f>+AF96*(1-Probs_Hombres!AF96)</f>
        <v>7132.1217900772144</v>
      </c>
      <c r="AG97">
        <f>+AG96*(1-Probs_Hombres!AG96)</f>
        <v>7132.1211163646594</v>
      </c>
      <c r="AH97">
        <f>+AH96*(1-Probs_Hombres!AH96)</f>
        <v>7132.1206589566482</v>
      </c>
    </row>
    <row r="98" spans="1:34" x14ac:dyDescent="0.25">
      <c r="A98">
        <v>96</v>
      </c>
      <c r="B98">
        <f>+B97*(1-Probs_Hombres!B97)</f>
        <v>0</v>
      </c>
      <c r="C98">
        <f>+C97*(1-Probs_Hombres!C97)</f>
        <v>0</v>
      </c>
      <c r="D98">
        <f>+D97*(1-Probs_Hombres!D97)</f>
        <v>0</v>
      </c>
      <c r="E98">
        <f>+E97*(1-Probs_Hombres!E97)</f>
        <v>0</v>
      </c>
      <c r="F98">
        <f>+F97*(1-Probs_Hombres!F97)</f>
        <v>0</v>
      </c>
      <c r="G98">
        <f>+G97*(1-Probs_Hombres!G97)</f>
        <v>0</v>
      </c>
      <c r="H98">
        <f>+H97*(1-Probs_Hombres!H97)</f>
        <v>0</v>
      </c>
      <c r="I98">
        <f>+I97*(1-Probs_Hombres!I97)</f>
        <v>0</v>
      </c>
      <c r="J98">
        <f>+J97*(1-Probs_Hombres!J97)</f>
        <v>0</v>
      </c>
      <c r="K98">
        <f>+K97*(1-Probs_Hombres!K97)</f>
        <v>0</v>
      </c>
      <c r="L98">
        <f>+L97*(1-Probs_Hombres!L97)</f>
        <v>0</v>
      </c>
      <c r="M98">
        <f>+M97*(1-Probs_Hombres!M97)</f>
        <v>0</v>
      </c>
      <c r="N98">
        <f>+N97*(1-Probs_Hombres!N97)</f>
        <v>0</v>
      </c>
      <c r="O98">
        <f>+O97*(1-Probs_Hombres!O97)</f>
        <v>0</v>
      </c>
      <c r="P98">
        <f>+P97*(1-Probs_Hombres!P97)</f>
        <v>0</v>
      </c>
      <c r="Q98">
        <f>+Q97*(1-Probs_Hombres!Q97)</f>
        <v>0</v>
      </c>
      <c r="R98">
        <f>+R97*(1-Probs_Hombres!R97)</f>
        <v>0</v>
      </c>
      <c r="S98">
        <f>+S97*(1-Probs_Hombres!S97)</f>
        <v>0</v>
      </c>
      <c r="T98">
        <f>+T97*(1-Probs_Hombres!T97)</f>
        <v>0</v>
      </c>
      <c r="U98">
        <f>+U97*(1-Probs_Hombres!U97)</f>
        <v>0</v>
      </c>
      <c r="V98">
        <f>+V97*(1-Probs_Hombres!V97)</f>
        <v>0</v>
      </c>
      <c r="W98">
        <f>+W97*(1-Probs_Hombres!W97)</f>
        <v>0</v>
      </c>
      <c r="X98">
        <f>+X97*(1-Probs_Hombres!X97)</f>
        <v>0</v>
      </c>
      <c r="Y98">
        <f>+Y97*(1-Probs_Hombres!Y97)</f>
        <v>0</v>
      </c>
      <c r="Z98">
        <f>+Z97*(1-Probs_Hombres!Z97)</f>
        <v>0</v>
      </c>
      <c r="AA98">
        <f>+AA97*(1-Probs_Hombres!AA97)</f>
        <v>0</v>
      </c>
      <c r="AB98">
        <f>+AB97*(1-Probs_Hombres!AB97)</f>
        <v>0</v>
      </c>
      <c r="AC98">
        <f>+AC97*(1-Probs_Hombres!AC97)</f>
        <v>0</v>
      </c>
      <c r="AD98">
        <f>+AD97*(1-Probs_Hombres!AD97)</f>
        <v>0</v>
      </c>
      <c r="AE98">
        <f>+AE97*(1-Probs_Hombres!AE97)</f>
        <v>0</v>
      </c>
      <c r="AF98">
        <f>+AF97*(1-Probs_Hombres!AF97)</f>
        <v>0</v>
      </c>
      <c r="AG98">
        <f>+AG97*(1-Probs_Hombres!AG97)</f>
        <v>0</v>
      </c>
      <c r="AH98">
        <f>+AH97*(1-Probs_Hombres!AH97)</f>
        <v>0</v>
      </c>
    </row>
    <row r="102" spans="1:34" x14ac:dyDescent="0.25">
      <c r="C102">
        <f>1-(B37+B38)</f>
        <v>-188269.83124099424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L83"/>
  <sheetViews>
    <sheetView workbookViewId="0">
      <selection activeCell="K18" sqref="K18"/>
    </sheetView>
  </sheetViews>
  <sheetFormatPr baseColWidth="10" defaultRowHeight="15" x14ac:dyDescent="0.25"/>
  <cols>
    <col min="10" max="10" width="13.5703125" bestFit="1" customWidth="1"/>
    <col min="11" max="11" width="11.85546875" bestFit="1" customWidth="1"/>
  </cols>
  <sheetData>
    <row r="1" spans="1:12" x14ac:dyDescent="0.25">
      <c r="A1" t="s">
        <v>67</v>
      </c>
    </row>
    <row r="2" spans="1:12" x14ac:dyDescent="0.25">
      <c r="A2" t="s">
        <v>68</v>
      </c>
      <c r="B2" s="3">
        <v>0.04</v>
      </c>
    </row>
    <row r="3" spans="1:12" x14ac:dyDescent="0.25">
      <c r="A3" t="s">
        <v>69</v>
      </c>
      <c r="B3" t="s">
        <v>72</v>
      </c>
    </row>
    <row r="4" spans="1:12" x14ac:dyDescent="0.25">
      <c r="A4" t="s">
        <v>70</v>
      </c>
      <c r="B4" t="s">
        <v>73</v>
      </c>
    </row>
    <row r="5" spans="1:12" x14ac:dyDescent="0.25">
      <c r="A5" t="s">
        <v>71</v>
      </c>
      <c r="B5">
        <v>35</v>
      </c>
    </row>
    <row r="6" spans="1:12" x14ac:dyDescent="0.25">
      <c r="A6" t="s">
        <v>76</v>
      </c>
      <c r="B6">
        <v>100000</v>
      </c>
    </row>
    <row r="7" spans="1:12" x14ac:dyDescent="0.25">
      <c r="B7" t="s">
        <v>0</v>
      </c>
      <c r="C7" t="s">
        <v>78</v>
      </c>
      <c r="D7" t="s">
        <v>79</v>
      </c>
      <c r="E7" t="s">
        <v>75</v>
      </c>
      <c r="F7" t="s">
        <v>74</v>
      </c>
      <c r="G7" t="s">
        <v>80</v>
      </c>
      <c r="H7" t="s">
        <v>81</v>
      </c>
      <c r="J7" t="s">
        <v>77</v>
      </c>
      <c r="L7" t="s">
        <v>83</v>
      </c>
    </row>
    <row r="8" spans="1:12" x14ac:dyDescent="0.25">
      <c r="A8">
        <f>+IF(B8&lt;=95,1,0)</f>
        <v>1</v>
      </c>
      <c r="B8">
        <f>+B5</f>
        <v>35</v>
      </c>
      <c r="C8" s="4">
        <f>+A8*(1+$B$2)^(-(B8-$B$5+1))</f>
        <v>0.96153846153846145</v>
      </c>
      <c r="D8" s="4">
        <f>+IFERROR(A8*(1+$B$2)^(-2*(B8-$B$5+1)),0)</f>
        <v>0.92455621301775137</v>
      </c>
      <c r="E8">
        <v>1</v>
      </c>
      <c r="F8">
        <f>+IFERROR(A8*VLOOKUP(B8,Probs_Hombres!$A$2:$B$97,2,FALSE),0)</f>
        <v>2.5005797432651401E-3</v>
      </c>
      <c r="G8">
        <f>+A8*C8*E8*F8</f>
        <v>2.4044035992934038E-3</v>
      </c>
      <c r="H8">
        <f>+A8*D8*E8*F8</f>
        <v>2.3119265377821189E-3</v>
      </c>
      <c r="J8">
        <f>+SUM(G8:G68)</f>
        <v>0.20567004026183955</v>
      </c>
      <c r="L8">
        <f>(B6^2)*SUM(H8:H68)-J12^2</f>
        <v>215299714.34050035</v>
      </c>
    </row>
    <row r="9" spans="1:12" x14ac:dyDescent="0.25">
      <c r="A9">
        <f t="shared" ref="A9:A68" si="0">+IF(B9&lt;=95,1,0)</f>
        <v>1</v>
      </c>
      <c r="B9">
        <f>+B8+1</f>
        <v>36</v>
      </c>
      <c r="C9" s="4">
        <f t="shared" ref="C9:C68" si="1">+A9*(1+$B$2)^(-(B9-$B$5+1))</f>
        <v>0.92455621301775137</v>
      </c>
      <c r="D9" s="4">
        <f t="shared" ref="D9:D68" si="2">+A9*(1+$B$2)^(-2*(B9-$B$5+1))</f>
        <v>0.85480419102972571</v>
      </c>
      <c r="E9">
        <f>+IFERROR(A9*VLOOKUP(B9,Hombres_lxt!$A$1:$B$97,2,FALSE)/VLOOKUP($B$5,Hombres_lxt!$A$2:$B$97,2,FALSE),0)</f>
        <v>0.99749942025673499</v>
      </c>
      <c r="F9">
        <f>+IFERROR(A9*VLOOKUP(B9,Probs_Hombres!$A$2:$B$97,2,FALSE),0)</f>
        <v>2.5130778836655598E-3</v>
      </c>
      <c r="G9">
        <f t="shared" ref="G9:G68" si="3">+A9*C9*E9*F9</f>
        <v>2.3176717196897356E-3</v>
      </c>
      <c r="H9">
        <f t="shared" ref="H9:H68" si="4">+A9*D9*E9*F9</f>
        <v>2.1428177881746813E-3</v>
      </c>
      <c r="J9">
        <f>+SUMPRODUCT(C8:C68,E8:E68,F8:F68)</f>
        <v>0.20567004026183955</v>
      </c>
      <c r="L9" t="s">
        <v>84</v>
      </c>
    </row>
    <row r="10" spans="1:12" x14ac:dyDescent="0.25">
      <c r="A10">
        <f t="shared" si="0"/>
        <v>1</v>
      </c>
      <c r="B10">
        <f t="shared" ref="B10:B73" si="5">+B9+1</f>
        <v>37</v>
      </c>
      <c r="C10" s="4">
        <f t="shared" si="1"/>
        <v>0.88899635867091487</v>
      </c>
      <c r="D10" s="4">
        <f t="shared" si="2"/>
        <v>0.79031452573014571</v>
      </c>
      <c r="E10">
        <f>+IFERROR(A10*VLOOKUP(B10,Hombres_lxt!$A$1:$B$97,2,FALSE)/VLOOKUP($B$5,Hombres_lxt!$A$2:$B$97,2,FALSE),0)</f>
        <v>0.99499262652471854</v>
      </c>
      <c r="F10">
        <f>+IFERROR(A10*VLOOKUP(B10,Probs_Hombres!$A$2:$B$97,2,FALSE),0)</f>
        <v>2.53611653985015E-3</v>
      </c>
      <c r="G10">
        <f t="shared" si="3"/>
        <v>2.2433087530210603E-3</v>
      </c>
      <c r="H10">
        <f t="shared" si="4"/>
        <v>1.9942933128103127E-3</v>
      </c>
      <c r="K10" t="s">
        <v>85</v>
      </c>
    </row>
    <row r="11" spans="1:12" x14ac:dyDescent="0.25">
      <c r="A11">
        <f t="shared" si="0"/>
        <v>1</v>
      </c>
      <c r="B11">
        <f t="shared" si="5"/>
        <v>38</v>
      </c>
      <c r="C11" s="4">
        <f t="shared" si="1"/>
        <v>0.85480419102972571</v>
      </c>
      <c r="D11" s="4">
        <f t="shared" si="2"/>
        <v>0.73069020500198378</v>
      </c>
      <c r="E11">
        <f>+IFERROR(A11*VLOOKUP(B11,Hombres_lxt!$A$1:$B$97,2,FALSE)/VLOOKUP($B$5,Hombres_lxt!$A$2:$B$97,2,FALSE),0)</f>
        <v>0.99246920926756022</v>
      </c>
      <c r="F11">
        <f>+IFERROR(A11*VLOOKUP(B11,Probs_Hombres!$A$2:$B$97,2,FALSE),0)</f>
        <v>2.57233866825293E-3</v>
      </c>
      <c r="G11">
        <f t="shared" si="3"/>
        <v>2.1822868262376554E-3</v>
      </c>
      <c r="H11">
        <f t="shared" si="4"/>
        <v>1.8654279250969066E-3</v>
      </c>
      <c r="J11" t="s">
        <v>82</v>
      </c>
    </row>
    <row r="12" spans="1:12" x14ac:dyDescent="0.25">
      <c r="A12">
        <f t="shared" si="0"/>
        <v>1</v>
      </c>
      <c r="B12">
        <f t="shared" si="5"/>
        <v>39</v>
      </c>
      <c r="C12" s="4">
        <f t="shared" si="1"/>
        <v>0.82192710675935154</v>
      </c>
      <c r="D12" s="4">
        <f t="shared" si="2"/>
        <v>0.67556416882579851</v>
      </c>
      <c r="E12">
        <f>+IFERROR(A12*VLOOKUP(B12,Hombres_lxt!$A$1:$B$97,2,FALSE)/VLOOKUP($B$5,Hombres_lxt!$A$2:$B$97,2,FALSE),0)</f>
        <v>0.98991624234351094</v>
      </c>
      <c r="F12">
        <f>+IFERROR(A12*VLOOKUP(B12,Probs_Hombres!$A$2:$B$97,2,FALSE),0)</f>
        <v>2.6011268165119501E-3</v>
      </c>
      <c r="G12">
        <f t="shared" si="3"/>
        <v>2.1163782036611595E-3</v>
      </c>
      <c r="H12">
        <f t="shared" si="4"/>
        <v>1.7395086137437705E-3</v>
      </c>
      <c r="J12">
        <f>+B6*J8</f>
        <v>20567.004026183953</v>
      </c>
    </row>
    <row r="13" spans="1:12" x14ac:dyDescent="0.25">
      <c r="A13">
        <f t="shared" si="0"/>
        <v>1</v>
      </c>
      <c r="B13">
        <f t="shared" si="5"/>
        <v>40</v>
      </c>
      <c r="C13" s="4">
        <f t="shared" si="1"/>
        <v>0.79031452573014571</v>
      </c>
      <c r="D13" s="4">
        <f t="shared" si="2"/>
        <v>0.62459704958006512</v>
      </c>
      <c r="E13">
        <f>+IFERROR(A13*VLOOKUP(B13,Hombres_lxt!$A$1:$B$97,2,FALSE)/VLOOKUP($B$5,Hombres_lxt!$A$2:$B$97,2,FALSE),0)</f>
        <v>0.98734134465945045</v>
      </c>
      <c r="F13">
        <f>+IFERROR(A13*VLOOKUP(B13,Probs_Hombres!$A$2:$B$97,2,FALSE),0)</f>
        <v>2.6757326007273499E-3</v>
      </c>
      <c r="G13">
        <f t="shared" si="3"/>
        <v>2.0879014583148154E-3</v>
      </c>
      <c r="H13">
        <f t="shared" si="4"/>
        <v>1.6500988507993531E-3</v>
      </c>
    </row>
    <row r="14" spans="1:12" x14ac:dyDescent="0.25">
      <c r="A14">
        <f t="shared" si="0"/>
        <v>1</v>
      </c>
      <c r="B14">
        <f t="shared" si="5"/>
        <v>41</v>
      </c>
      <c r="C14" s="4">
        <f t="shared" si="1"/>
        <v>0.75991781320206331</v>
      </c>
      <c r="D14" s="4">
        <f t="shared" si="2"/>
        <v>0.57747508282180582</v>
      </c>
      <c r="E14">
        <f>+IFERROR(A14*VLOOKUP(B14,Hombres_lxt!$A$1:$B$97,2,FALSE)/VLOOKUP($B$5,Hombres_lxt!$A$2:$B$97,2,FALSE),0)</f>
        <v>0.98469948323549916</v>
      </c>
      <c r="F14">
        <f>+IFERROR(A14*VLOOKUP(B14,Probs_Hombres!$A$2:$B$97,2,FALSE),0)</f>
        <v>2.8123954423597401E-3</v>
      </c>
      <c r="G14">
        <f t="shared" si="3"/>
        <v>2.1044892922592656E-3</v>
      </c>
      <c r="H14">
        <f t="shared" si="4"/>
        <v>1.5992389008808185E-3</v>
      </c>
    </row>
    <row r="15" spans="1:12" x14ac:dyDescent="0.25">
      <c r="A15">
        <f t="shared" si="0"/>
        <v>1</v>
      </c>
      <c r="B15">
        <f t="shared" si="5"/>
        <v>42</v>
      </c>
      <c r="C15" s="4">
        <f t="shared" si="1"/>
        <v>0.73069020500198378</v>
      </c>
      <c r="D15" s="4">
        <f t="shared" si="2"/>
        <v>0.53390817568584104</v>
      </c>
      <c r="E15">
        <f>+IFERROR(A15*VLOOKUP(B15,Hombres_lxt!$A$1:$B$97,2,FALSE)/VLOOKUP($B$5,Hombres_lxt!$A$2:$B$97,2,FALSE),0)</f>
        <v>0.98193011889675363</v>
      </c>
      <c r="F15">
        <f>+IFERROR(A15*VLOOKUP(B15,Probs_Hombres!$A$2:$B$97,2,FALSE),0)</f>
        <v>2.9897714000759398E-3</v>
      </c>
      <c r="G15">
        <f t="shared" si="3"/>
        <v>2.1451212750144533E-3</v>
      </c>
      <c r="H15">
        <f t="shared" si="4"/>
        <v>1.5674191041944276E-3</v>
      </c>
      <c r="K15">
        <f>+lx(23,"Hombre")</f>
        <v>97104.140064312771</v>
      </c>
    </row>
    <row r="16" spans="1:12" x14ac:dyDescent="0.25">
      <c r="A16">
        <f t="shared" si="0"/>
        <v>1</v>
      </c>
      <c r="B16">
        <f t="shared" si="5"/>
        <v>43</v>
      </c>
      <c r="C16" s="4">
        <f t="shared" si="1"/>
        <v>0.70258673557883045</v>
      </c>
      <c r="D16" s="4">
        <f t="shared" si="2"/>
        <v>0.49362812101131748</v>
      </c>
      <c r="E16">
        <f>+IFERROR(A16*VLOOKUP(B16,Hombres_lxt!$A$1:$B$97,2,FALSE)/VLOOKUP($B$5,Hombres_lxt!$A$2:$B$97,2,FALSE),0)</f>
        <v>0.97899437231040298</v>
      </c>
      <c r="F16">
        <f>+IFERROR(A16*VLOOKUP(B16,Probs_Hombres!$A$2:$B$97,2,FALSE),0)</f>
        <v>3.1237309166501498E-3</v>
      </c>
      <c r="G16">
        <f t="shared" si="3"/>
        <v>2.1485910264524058E-3</v>
      </c>
      <c r="H16">
        <f t="shared" si="4"/>
        <v>1.5095715553691644E-3</v>
      </c>
    </row>
    <row r="17" spans="1:11" x14ac:dyDescent="0.25">
      <c r="A17">
        <f t="shared" si="0"/>
        <v>1</v>
      </c>
      <c r="B17">
        <f t="shared" si="5"/>
        <v>44</v>
      </c>
      <c r="C17" s="4">
        <f t="shared" si="1"/>
        <v>0.67556416882579851</v>
      </c>
      <c r="D17" s="4">
        <f t="shared" si="2"/>
        <v>0.45638694620129205</v>
      </c>
      <c r="E17">
        <f>+IFERROR(A17*VLOOKUP(B17,Hombres_lxt!$A$1:$B$97,2,FALSE)/VLOOKUP($B$5,Hombres_lxt!$A$2:$B$97,2,FALSE),0)</f>
        <v>0.97593625732239042</v>
      </c>
      <c r="F17">
        <f>+IFERROR(A17*VLOOKUP(B17,Probs_Hombres!$A$2:$B$97,2,FALSE),0)</f>
        <v>3.2667333419505902E-3</v>
      </c>
      <c r="G17">
        <f t="shared" si="3"/>
        <v>2.1537820101020632E-3</v>
      </c>
      <c r="H17">
        <f t="shared" si="4"/>
        <v>1.455017953486558E-3</v>
      </c>
    </row>
    <row r="18" spans="1:11" x14ac:dyDescent="0.25">
      <c r="A18">
        <f t="shared" si="0"/>
        <v>1</v>
      </c>
      <c r="B18">
        <f t="shared" si="5"/>
        <v>45</v>
      </c>
      <c r="C18" s="4">
        <f t="shared" si="1"/>
        <v>0.6495809315632679</v>
      </c>
      <c r="D18" s="4">
        <f t="shared" si="2"/>
        <v>0.42195538665060278</v>
      </c>
      <c r="E18">
        <f>+IFERROR(A18*VLOOKUP(B18,Hombres_lxt!$A$1:$B$97,2,FALSE)/VLOOKUP($B$5,Hombres_lxt!$A$2:$B$97,2,FALSE),0)</f>
        <v>0.97274813381097702</v>
      </c>
      <c r="F18">
        <f>+IFERROR(A18*VLOOKUP(B18,Probs_Hombres!$A$2:$B$97,2,FALSE),0)</f>
        <v>3.4546121890968902E-3</v>
      </c>
      <c r="G18">
        <f t="shared" si="3"/>
        <v>2.1828956481029734E-3</v>
      </c>
      <c r="H18">
        <f t="shared" si="4"/>
        <v>1.4179673886001323E-3</v>
      </c>
      <c r="K18">
        <f>+Ax(35,0.04,"Hombre")</f>
        <v>0.20567004654055418</v>
      </c>
    </row>
    <row r="19" spans="1:11" x14ac:dyDescent="0.25">
      <c r="A19">
        <f t="shared" si="0"/>
        <v>1</v>
      </c>
      <c r="B19">
        <f t="shared" si="5"/>
        <v>46</v>
      </c>
      <c r="C19" s="4">
        <f t="shared" si="1"/>
        <v>0.62459704958006512</v>
      </c>
      <c r="D19" s="4">
        <f t="shared" si="2"/>
        <v>0.39012147434412242</v>
      </c>
      <c r="E19">
        <f>+IFERROR(A19*VLOOKUP(B19,Hombres_lxt!$A$1:$B$97,2,FALSE)/VLOOKUP($B$5,Hombres_lxt!$A$2:$B$97,2,FALSE),0)</f>
        <v>0.96938766625099226</v>
      </c>
      <c r="F19">
        <f>+IFERROR(A19*VLOOKUP(B19,Probs_Hombres!$A$2:$B$97,2,FALSE),0)</f>
        <v>3.6481272417408801E-3</v>
      </c>
      <c r="G19">
        <f t="shared" si="3"/>
        <v>2.2088559568286801E-3</v>
      </c>
      <c r="H19">
        <f t="shared" si="4"/>
        <v>1.3796449135825455E-3</v>
      </c>
    </row>
    <row r="20" spans="1:11" x14ac:dyDescent="0.25">
      <c r="A20">
        <f t="shared" si="0"/>
        <v>1</v>
      </c>
      <c r="B20">
        <f t="shared" si="5"/>
        <v>47</v>
      </c>
      <c r="C20" s="4">
        <f t="shared" si="1"/>
        <v>0.600574086134678</v>
      </c>
      <c r="D20" s="4">
        <f t="shared" si="2"/>
        <v>0.36068923293650368</v>
      </c>
      <c r="E20">
        <f>+IFERROR(A20*VLOOKUP(B20,Hombres_lxt!$A$1:$B$97,2,FALSE)/VLOOKUP($B$5,Hombres_lxt!$A$2:$B$97,2,FALSE),0)</f>
        <v>0.9658512166979345</v>
      </c>
      <c r="F20">
        <f>+IFERROR(A20*VLOOKUP(B20,Probs_Hombres!$A$2:$B$97,2,FALSE),0)</f>
        <v>3.80784661897325E-3</v>
      </c>
      <c r="G20">
        <f t="shared" si="3"/>
        <v>2.2087993555763435E-3</v>
      </c>
      <c r="H20">
        <f t="shared" si="4"/>
        <v>1.3265476544301285E-3</v>
      </c>
    </row>
    <row r="21" spans="1:11" x14ac:dyDescent="0.25">
      <c r="A21">
        <f t="shared" si="0"/>
        <v>1</v>
      </c>
      <c r="B21">
        <f t="shared" si="5"/>
        <v>48</v>
      </c>
      <c r="C21" s="4">
        <f t="shared" si="1"/>
        <v>0.57747508282180582</v>
      </c>
      <c r="D21" s="4">
        <f t="shared" si="2"/>
        <v>0.3334774712800514</v>
      </c>
      <c r="E21">
        <f>+IFERROR(A21*VLOOKUP(B21,Hombres_lxt!$A$1:$B$97,2,FALSE)/VLOOKUP($B$5,Hombres_lxt!$A$2:$B$97,2,FALSE),0)</f>
        <v>0.96217340340799995</v>
      </c>
      <c r="F21">
        <f>+IFERROR(A21*VLOOKUP(B21,Probs_Hombres!$A$2:$B$97,2,FALSE),0)</f>
        <v>4.0216105368142399E-3</v>
      </c>
      <c r="G21">
        <f t="shared" si="3"/>
        <v>2.234532151052029E-3</v>
      </c>
      <c r="H21">
        <f t="shared" si="4"/>
        <v>1.290386638996758E-3</v>
      </c>
      <c r="J21" t="e">
        <f>+tqx(95,)</f>
        <v>#VALUE!</v>
      </c>
    </row>
    <row r="22" spans="1:11" x14ac:dyDescent="0.25">
      <c r="A22">
        <f t="shared" si="0"/>
        <v>1</v>
      </c>
      <c r="B22">
        <f t="shared" si="5"/>
        <v>49</v>
      </c>
      <c r="C22" s="4">
        <f t="shared" si="1"/>
        <v>0.55526450271327477</v>
      </c>
      <c r="D22" s="4">
        <f t="shared" si="2"/>
        <v>0.30831866797342034</v>
      </c>
      <c r="E22">
        <f>+IFERROR(A22*VLOOKUP(B22,Hombres_lxt!$A$1:$B$97,2,FALSE)/VLOOKUP($B$5,Hombres_lxt!$A$2:$B$97,2,FALSE),0)</f>
        <v>0.95830391671061188</v>
      </c>
      <c r="F22">
        <f>+IFERROR(A22*VLOOKUP(B22,Probs_Hombres!$A$2:$B$97,2,FALSE),0)</f>
        <v>4.3335923905854102E-3</v>
      </c>
      <c r="G22">
        <f t="shared" si="3"/>
        <v>2.3059571544729682E-3</v>
      </c>
      <c r="H22">
        <f t="shared" si="4"/>
        <v>1.2804161526565507E-3</v>
      </c>
    </row>
    <row r="23" spans="1:11" x14ac:dyDescent="0.25">
      <c r="A23">
        <f t="shared" si="0"/>
        <v>1</v>
      </c>
      <c r="B23">
        <f t="shared" si="5"/>
        <v>50</v>
      </c>
      <c r="C23" s="4">
        <f t="shared" si="1"/>
        <v>0.53390817568584104</v>
      </c>
      <c r="D23" s="4">
        <f t="shared" si="2"/>
        <v>0.28505794006418295</v>
      </c>
      <c r="E23">
        <f>+IFERROR(A23*VLOOKUP(B23,Hombres_lxt!$A$1:$B$97,2,FALSE)/VLOOKUP($B$5,Hombres_lxt!$A$2:$B$97,2,FALSE),0)</f>
        <v>0.9541510181492866</v>
      </c>
      <c r="F23">
        <f>+IFERROR(A23*VLOOKUP(B23,Probs_Hombres!$A$2:$B$97,2,FALSE),0)</f>
        <v>4.6540570216304297E-3</v>
      </c>
      <c r="G23">
        <f t="shared" si="3"/>
        <v>2.3709117514358227E-3</v>
      </c>
      <c r="H23">
        <f t="shared" si="4"/>
        <v>1.2658491679212226E-3</v>
      </c>
    </row>
    <row r="24" spans="1:11" x14ac:dyDescent="0.25">
      <c r="A24">
        <f t="shared" si="0"/>
        <v>1</v>
      </c>
      <c r="B24">
        <f t="shared" si="5"/>
        <v>51</v>
      </c>
      <c r="C24" s="4">
        <f t="shared" si="1"/>
        <v>0.51337324585177024</v>
      </c>
      <c r="D24" s="4">
        <f t="shared" si="2"/>
        <v>0.26355208955638215</v>
      </c>
      <c r="E24">
        <f>+IFERROR(A24*VLOOKUP(B24,Hombres_lxt!$A$1:$B$97,2,FALSE)/VLOOKUP($B$5,Hombres_lxt!$A$2:$B$97,2,FALSE),0)</f>
        <v>0.94971034490357298</v>
      </c>
      <c r="F24">
        <f>+IFERROR(A24*VLOOKUP(B24,Probs_Hombres!$A$2:$B$97,2,FALSE),0)</f>
        <v>4.9535970573305202E-3</v>
      </c>
      <c r="G24">
        <f t="shared" si="3"/>
        <v>2.4151553842524107E-3</v>
      </c>
      <c r="H24">
        <f t="shared" si="4"/>
        <v>1.2398761588500395E-3</v>
      </c>
    </row>
    <row r="25" spans="1:11" x14ac:dyDescent="0.25">
      <c r="A25">
        <f t="shared" si="0"/>
        <v>1</v>
      </c>
      <c r="B25">
        <f t="shared" si="5"/>
        <v>52</v>
      </c>
      <c r="C25" s="4">
        <f t="shared" si="1"/>
        <v>0.49362812101131748</v>
      </c>
      <c r="D25" s="4">
        <f t="shared" si="2"/>
        <v>0.24366872185316396</v>
      </c>
      <c r="E25">
        <f>+IFERROR(A25*VLOOKUP(B25,Hombres_lxt!$A$1:$B$97,2,FALSE)/VLOOKUP($B$5,Hombres_lxt!$A$2:$B$97,2,FALSE),0)</f>
        <v>0.9450058625337423</v>
      </c>
      <c r="F25">
        <f>+IFERROR(A25*VLOOKUP(B25,Probs_Hombres!$A$2:$B$97,2,FALSE),0)</f>
        <v>5.3075939115216899E-3</v>
      </c>
      <c r="G25">
        <f t="shared" si="3"/>
        <v>2.4758942008127455E-3</v>
      </c>
      <c r="H25">
        <f t="shared" si="4"/>
        <v>1.2221710021700135E-3</v>
      </c>
    </row>
    <row r="26" spans="1:11" x14ac:dyDescent="0.25">
      <c r="A26">
        <f t="shared" si="0"/>
        <v>1</v>
      </c>
      <c r="B26">
        <f t="shared" si="5"/>
        <v>53</v>
      </c>
      <c r="C26" s="4">
        <f t="shared" si="1"/>
        <v>0.47464242404934376</v>
      </c>
      <c r="D26" s="4">
        <f t="shared" si="2"/>
        <v>0.22528543070743706</v>
      </c>
      <c r="E26">
        <f>+IFERROR(A26*VLOOKUP(B26,Hombres_lxt!$A$1:$B$97,2,FALSE)/VLOOKUP($B$5,Hombres_lxt!$A$2:$B$97,2,FALSE),0)</f>
        <v>0.93999015517140594</v>
      </c>
      <c r="F26">
        <f>+IFERROR(A26*VLOOKUP(B26,Probs_Hombres!$A$2:$B$97,2,FALSE),0)</f>
        <v>5.66333824634087E-3</v>
      </c>
      <c r="G26">
        <f t="shared" si="3"/>
        <v>2.5267504943515214E-3</v>
      </c>
      <c r="H26">
        <f t="shared" si="4"/>
        <v>1.1993029796068841E-3</v>
      </c>
    </row>
    <row r="27" spans="1:11" x14ac:dyDescent="0.25">
      <c r="A27">
        <f t="shared" si="0"/>
        <v>1</v>
      </c>
      <c r="B27">
        <f t="shared" si="5"/>
        <v>54</v>
      </c>
      <c r="C27" s="4">
        <f t="shared" si="1"/>
        <v>0.45638694620129205</v>
      </c>
      <c r="D27" s="4">
        <f t="shared" si="2"/>
        <v>0.20828904466294101</v>
      </c>
      <c r="E27">
        <f>+IFERROR(A27*VLOOKUP(B27,Hombres_lxt!$A$1:$B$97,2,FALSE)/VLOOKUP($B$5,Hombres_lxt!$A$2:$B$97,2,FALSE),0)</f>
        <v>0.93466667297443984</v>
      </c>
      <c r="F27">
        <f>+IFERROR(A27*VLOOKUP(B27,Probs_Hombres!$A$2:$B$97,2,FALSE),0)</f>
        <v>6.0784957719761104E-3</v>
      </c>
      <c r="G27">
        <f t="shared" si="3"/>
        <v>2.5929019270075101E-3</v>
      </c>
      <c r="H27">
        <f t="shared" si="4"/>
        <v>1.1833665922664027E-3</v>
      </c>
    </row>
    <row r="28" spans="1:11" x14ac:dyDescent="0.25">
      <c r="A28">
        <f t="shared" si="0"/>
        <v>1</v>
      </c>
      <c r="B28">
        <f t="shared" si="5"/>
        <v>55</v>
      </c>
      <c r="C28" s="4">
        <f t="shared" si="1"/>
        <v>0.43883360211662686</v>
      </c>
      <c r="D28" s="4">
        <f t="shared" si="2"/>
        <v>0.19257493034665407</v>
      </c>
      <c r="E28">
        <f>+IFERROR(A28*VLOOKUP(B28,Hombres_lxt!$A$1:$B$97,2,FALSE)/VLOOKUP($B$5,Hombres_lxt!$A$2:$B$97,2,FALSE),0)</f>
        <v>0.92898530555455783</v>
      </c>
      <c r="F28">
        <f>+IFERROR(A28*VLOOKUP(B28,Probs_Hombres!$A$2:$B$97,2,FALSE),0)</f>
        <v>6.4608062359222803E-3</v>
      </c>
      <c r="G28">
        <f t="shared" si="3"/>
        <v>2.6338766711290914E-3</v>
      </c>
      <c r="H28">
        <f t="shared" si="4"/>
        <v>1.1558335871225298E-3</v>
      </c>
    </row>
    <row r="29" spans="1:11" x14ac:dyDescent="0.25">
      <c r="A29">
        <f t="shared" si="0"/>
        <v>1</v>
      </c>
      <c r="B29">
        <f t="shared" si="5"/>
        <v>56</v>
      </c>
      <c r="C29" s="4">
        <f t="shared" si="1"/>
        <v>0.42195538665060278</v>
      </c>
      <c r="D29" s="4">
        <f t="shared" si="2"/>
        <v>0.17804634832345972</v>
      </c>
      <c r="E29">
        <f>+IFERROR(A29*VLOOKUP(B29,Hombres_lxt!$A$1:$B$97,2,FALSE)/VLOOKUP($B$5,Hombres_lxt!$A$2:$B$97,2,FALSE),0)</f>
        <v>0.92298331149935076</v>
      </c>
      <c r="F29">
        <f>+IFERROR(A29*VLOOKUP(B29,Probs_Hombres!$A$2:$B$97,2,FALSE),0)</f>
        <v>6.8547741210962503E-3</v>
      </c>
      <c r="G29">
        <f t="shared" si="3"/>
        <v>2.6696451121229303E-3</v>
      </c>
      <c r="H29">
        <f t="shared" si="4"/>
        <v>1.1264711355057229E-3</v>
      </c>
    </row>
    <row r="30" spans="1:11" x14ac:dyDescent="0.25">
      <c r="A30">
        <f t="shared" si="0"/>
        <v>1</v>
      </c>
      <c r="B30">
        <f t="shared" si="5"/>
        <v>57</v>
      </c>
      <c r="C30" s="4">
        <f t="shared" si="1"/>
        <v>0.40572633331788732</v>
      </c>
      <c r="D30" s="4">
        <f t="shared" si="2"/>
        <v>0.1646138575475774</v>
      </c>
      <c r="E30">
        <f>+IFERROR(A30*VLOOKUP(B30,Hombres_lxt!$A$1:$B$97,2,FALSE)/VLOOKUP($B$5,Hombres_lxt!$A$2:$B$97,2,FALSE),0)</f>
        <v>0.91665646938148138</v>
      </c>
      <c r="F30">
        <f>+IFERROR(A30*VLOOKUP(B30,Probs_Hombres!$A$2:$B$97,2,FALSE),0)</f>
        <v>7.2901155774238004E-3</v>
      </c>
      <c r="G30">
        <f t="shared" si="3"/>
        <v>2.7112790460203148E-3</v>
      </c>
      <c r="H30">
        <f t="shared" si="4"/>
        <v>1.1000373059434417E-3</v>
      </c>
    </row>
    <row r="31" spans="1:11" x14ac:dyDescent="0.25">
      <c r="A31">
        <f t="shared" si="0"/>
        <v>1</v>
      </c>
      <c r="B31">
        <f t="shared" si="5"/>
        <v>58</v>
      </c>
      <c r="C31" s="4">
        <f t="shared" si="1"/>
        <v>0.39012147434412242</v>
      </c>
      <c r="D31" s="4">
        <f t="shared" si="2"/>
        <v>0.15219476474443175</v>
      </c>
      <c r="E31">
        <f>+IFERROR(A31*VLOOKUP(B31,Hombres_lxt!$A$1:$B$97,2,FALSE)/VLOOKUP($B$5,Hombres_lxt!$A$2:$B$97,2,FALSE),0)</f>
        <v>0.9099739377748971</v>
      </c>
      <c r="F31">
        <f>+IFERROR(A31*VLOOKUP(B31,Probs_Hombres!$A$2:$B$97,2,FALSE),0)</f>
        <v>7.8970268968815999E-3</v>
      </c>
      <c r="G31">
        <f t="shared" si="3"/>
        <v>2.8034475036141844E-3</v>
      </c>
      <c r="H31">
        <f t="shared" si="4"/>
        <v>1.093685073356315E-3</v>
      </c>
    </row>
    <row r="32" spans="1:11" x14ac:dyDescent="0.25">
      <c r="A32">
        <f t="shared" si="0"/>
        <v>1</v>
      </c>
      <c r="B32">
        <f t="shared" si="5"/>
        <v>59</v>
      </c>
      <c r="C32" s="4">
        <f t="shared" si="1"/>
        <v>0.37511680225396377</v>
      </c>
      <c r="D32" s="4">
        <f t="shared" si="2"/>
        <v>0.14071261533323939</v>
      </c>
      <c r="E32">
        <f>+IFERROR(A32*VLOOKUP(B32,Hombres_lxt!$A$1:$B$97,2,FALSE)/VLOOKUP($B$5,Hombres_lxt!$A$2:$B$97,2,FALSE),0)</f>
        <v>0.90278784911282739</v>
      </c>
      <c r="F32">
        <f>+IFERROR(A32*VLOOKUP(B32,Probs_Hombres!$A$2:$B$97,2,FALSE),0)</f>
        <v>8.5271600619157596E-3</v>
      </c>
      <c r="G32">
        <f t="shared" si="3"/>
        <v>2.8877303532893394E-3</v>
      </c>
      <c r="H32">
        <f t="shared" si="4"/>
        <v>1.0832361758976062E-3</v>
      </c>
    </row>
    <row r="33" spans="1:8" x14ac:dyDescent="0.25">
      <c r="A33">
        <f t="shared" si="0"/>
        <v>1</v>
      </c>
      <c r="B33">
        <f t="shared" si="5"/>
        <v>60</v>
      </c>
      <c r="C33" s="4">
        <f t="shared" si="1"/>
        <v>0.36068923293650368</v>
      </c>
      <c r="D33" s="4">
        <f t="shared" si="2"/>
        <v>0.13009672275632339</v>
      </c>
      <c r="E33">
        <f>+IFERROR(A33*VLOOKUP(B33,Hombres_lxt!$A$1:$B$97,2,FALSE)/VLOOKUP($B$5,Hombres_lxt!$A$2:$B$97,2,FALSE),0)</f>
        <v>0.89508963262148966</v>
      </c>
      <c r="F33">
        <f>+IFERROR(A33*VLOOKUP(B33,Probs_Hombres!$A$2:$B$97,2,FALSE),0)</f>
        <v>8.9978075846693303E-3</v>
      </c>
      <c r="G33">
        <f t="shared" si="3"/>
        <v>2.9049349174767309E-3</v>
      </c>
      <c r="H33">
        <f t="shared" si="4"/>
        <v>1.0477787471151476E-3</v>
      </c>
    </row>
    <row r="34" spans="1:8" x14ac:dyDescent="0.25">
      <c r="A34">
        <f t="shared" si="0"/>
        <v>1</v>
      </c>
      <c r="B34">
        <f t="shared" si="5"/>
        <v>61</v>
      </c>
      <c r="C34" s="4">
        <f t="shared" si="1"/>
        <v>0.3468165701312535</v>
      </c>
      <c r="D34" s="4">
        <f t="shared" si="2"/>
        <v>0.12028173331760666</v>
      </c>
      <c r="E34">
        <f>+IFERROR(A34*VLOOKUP(B34,Hombres_lxt!$A$1:$B$97,2,FALSE)/VLOOKUP($B$5,Hombres_lxt!$A$2:$B$97,2,FALSE),0)</f>
        <v>0.88703578833612917</v>
      </c>
      <c r="F34">
        <f>+IFERROR(A34*VLOOKUP(B34,Probs_Hombres!$A$2:$B$97,2,FALSE),0)</f>
        <v>9.4192682132583205E-3</v>
      </c>
      <c r="G34">
        <f t="shared" si="3"/>
        <v>2.8977315193923496E-3</v>
      </c>
      <c r="H34">
        <f t="shared" si="4"/>
        <v>1.0049813067168807E-3</v>
      </c>
    </row>
    <row r="35" spans="1:8" x14ac:dyDescent="0.25">
      <c r="A35">
        <f t="shared" si="0"/>
        <v>1</v>
      </c>
      <c r="B35">
        <f t="shared" si="5"/>
        <v>62</v>
      </c>
      <c r="C35" s="4">
        <f t="shared" si="1"/>
        <v>0.3334774712800514</v>
      </c>
      <c r="D35" s="4">
        <f t="shared" si="2"/>
        <v>0.11120722385133754</v>
      </c>
      <c r="E35">
        <f>+IFERROR(A35*VLOOKUP(B35,Hombres_lxt!$A$1:$B$97,2,FALSE)/VLOOKUP($B$5,Hombres_lxt!$A$2:$B$97,2,FALSE),0)</f>
        <v>0.87868056033103203</v>
      </c>
      <c r="F35">
        <f>+IFERROR(A35*VLOOKUP(B35,Probs_Hombres!$A$2:$B$97,2,FALSE),0)</f>
        <v>1.0060551059013399E-2</v>
      </c>
      <c r="G35">
        <f t="shared" si="3"/>
        <v>2.9479443949071548E-3</v>
      </c>
      <c r="H35">
        <f t="shared" si="4"/>
        <v>9.8307304228783957E-4</v>
      </c>
    </row>
    <row r="36" spans="1:8" x14ac:dyDescent="0.25">
      <c r="A36">
        <f t="shared" si="0"/>
        <v>1</v>
      </c>
      <c r="B36">
        <f t="shared" si="5"/>
        <v>63</v>
      </c>
      <c r="C36" s="4">
        <f t="shared" si="1"/>
        <v>0.32065141469235708</v>
      </c>
      <c r="D36" s="4">
        <f t="shared" si="2"/>
        <v>0.10281732974420998</v>
      </c>
      <c r="E36">
        <f>+IFERROR(A36*VLOOKUP(B36,Hombres_lxt!$A$1:$B$97,2,FALSE)/VLOOKUP($B$5,Hombres_lxt!$A$2:$B$97,2,FALSE),0)</f>
        <v>0.86984054968925917</v>
      </c>
      <c r="F36">
        <f>+IFERROR(A36*VLOOKUP(B36,Probs_Hombres!$A$2:$B$97,2,FALSE),0)</f>
        <v>1.0780974684175401E-2</v>
      </c>
      <c r="G36">
        <f t="shared" si="3"/>
        <v>3.0069820529661385E-3</v>
      </c>
      <c r="H36">
        <f t="shared" si="4"/>
        <v>9.6419304923812087E-4</v>
      </c>
    </row>
    <row r="37" spans="1:8" x14ac:dyDescent="0.25">
      <c r="A37">
        <f t="shared" si="0"/>
        <v>1</v>
      </c>
      <c r="B37">
        <f t="shared" si="5"/>
        <v>64</v>
      </c>
      <c r="C37" s="4">
        <f t="shared" si="1"/>
        <v>0.30831866797342034</v>
      </c>
      <c r="D37" s="4">
        <f t="shared" si="2"/>
        <v>9.506040102090417E-2</v>
      </c>
      <c r="E37">
        <f>+IFERROR(A37*VLOOKUP(B37,Hombres_lxt!$A$1:$B$97,2,FALSE)/VLOOKUP($B$5,Hombres_lxt!$A$2:$B$97,2,FALSE),0)</f>
        <v>0.8604628207437901</v>
      </c>
      <c r="F37">
        <f>+IFERROR(A37*VLOOKUP(B37,Probs_Hombres!$A$2:$B$97,2,FALSE),0)</f>
        <v>1.1389281623637299E-2</v>
      </c>
      <c r="G37">
        <f t="shared" si="3"/>
        <v>3.0215394079269498E-3</v>
      </c>
      <c r="H37">
        <f t="shared" si="4"/>
        <v>9.3159700548123411E-4</v>
      </c>
    </row>
    <row r="38" spans="1:8" x14ac:dyDescent="0.25">
      <c r="A38">
        <f t="shared" si="0"/>
        <v>1</v>
      </c>
      <c r="B38">
        <f t="shared" si="5"/>
        <v>65</v>
      </c>
      <c r="C38" s="4">
        <f t="shared" si="1"/>
        <v>0.29646025766675027</v>
      </c>
      <c r="D38" s="4">
        <f t="shared" si="2"/>
        <v>8.7888684375835968E-2</v>
      </c>
      <c r="E38">
        <f>+IFERROR(A38*VLOOKUP(B38,Hombres_lxt!$A$1:$B$97,2,FALSE)/VLOOKUP($B$5,Hombres_lxt!$A$2:$B$97,2,FALSE),0)</f>
        <v>0.8506627673516699</v>
      </c>
      <c r="F38">
        <f>+IFERROR(A38*VLOOKUP(B38,Probs_Hombres!$A$2:$B$97,2,FALSE),0)</f>
        <v>1.19738476263332E-2</v>
      </c>
      <c r="G38">
        <f t="shared" si="3"/>
        <v>3.0196571313108734E-3</v>
      </c>
      <c r="H38">
        <f t="shared" si="4"/>
        <v>8.9520833121366163E-4</v>
      </c>
    </row>
    <row r="39" spans="1:8" x14ac:dyDescent="0.25">
      <c r="A39">
        <f t="shared" si="0"/>
        <v>1</v>
      </c>
      <c r="B39">
        <f t="shared" si="5"/>
        <v>66</v>
      </c>
      <c r="C39" s="4">
        <f t="shared" si="1"/>
        <v>0.28505794006418295</v>
      </c>
      <c r="D39" s="4">
        <f t="shared" si="2"/>
        <v>8.1258029193635312E-2</v>
      </c>
      <c r="E39">
        <f>+IFERROR(A39*VLOOKUP(B39,Hombres_lxt!$A$1:$B$97,2,FALSE)/VLOOKUP($B$5,Hombres_lxt!$A$2:$B$97,2,FALSE),0)</f>
        <v>0.84047706099400599</v>
      </c>
      <c r="F39">
        <f>+IFERROR(A39*VLOOKUP(B39,Probs_Hombres!$A$2:$B$97,2,FALSE),0)</f>
        <v>1.31454848931286E-2</v>
      </c>
      <c r="G39">
        <f t="shared" si="3"/>
        <v>3.1494565244244775E-3</v>
      </c>
      <c r="H39">
        <f t="shared" si="4"/>
        <v>8.9777758917414263E-4</v>
      </c>
    </row>
    <row r="40" spans="1:8" x14ac:dyDescent="0.25">
      <c r="A40">
        <f t="shared" si="0"/>
        <v>1</v>
      </c>
      <c r="B40">
        <f t="shared" si="5"/>
        <v>67</v>
      </c>
      <c r="C40" s="4">
        <f t="shared" si="1"/>
        <v>0.27409417313863743</v>
      </c>
      <c r="D40" s="4">
        <f t="shared" si="2"/>
        <v>7.5127615748553353E-2</v>
      </c>
      <c r="E40">
        <f>+IFERROR(A40*VLOOKUP(B40,Hombres_lxt!$A$1:$B$97,2,FALSE)/VLOOKUP($B$5,Hombres_lxt!$A$2:$B$97,2,FALSE),0)</f>
        <v>0.82942858248568818</v>
      </c>
      <c r="F40">
        <f>+IFERROR(A40*VLOOKUP(B40,Probs_Hombres!$A$2:$B$97,2,FALSE),0)</f>
        <v>1.47408662198447E-2</v>
      </c>
      <c r="G40">
        <f t="shared" si="3"/>
        <v>3.3512112493758379E-3</v>
      </c>
      <c r="H40">
        <f t="shared" si="4"/>
        <v>9.1854747641057042E-4</v>
      </c>
    </row>
    <row r="41" spans="1:8" x14ac:dyDescent="0.25">
      <c r="A41">
        <f t="shared" si="0"/>
        <v>1</v>
      </c>
      <c r="B41">
        <f t="shared" si="5"/>
        <v>68</v>
      </c>
      <c r="C41" s="4">
        <f t="shared" si="1"/>
        <v>0.26355208955638215</v>
      </c>
      <c r="D41" s="4">
        <f t="shared" si="2"/>
        <v>6.9459703909535264E-2</v>
      </c>
      <c r="E41">
        <f>+IFERROR(A41*VLOOKUP(B41,Hombres_lxt!$A$1:$B$97,2,FALSE)/VLOOKUP($B$5,Hombres_lxt!$A$2:$B$97,2,FALSE),0)</f>
        <v>0.81720208671235128</v>
      </c>
      <c r="F41">
        <f>+IFERROR(A41*VLOOKUP(B41,Probs_Hombres!$A$2:$B$97,2,FALSE),0)</f>
        <v>1.63330852064601E-2</v>
      </c>
      <c r="G41">
        <f t="shared" si="3"/>
        <v>3.5177434127961942E-3</v>
      </c>
      <c r="H41">
        <f t="shared" si="4"/>
        <v>9.2710862696563571E-4</v>
      </c>
    </row>
    <row r="42" spans="1:8" x14ac:dyDescent="0.25">
      <c r="A42">
        <f t="shared" si="0"/>
        <v>1</v>
      </c>
      <c r="B42">
        <f t="shared" si="5"/>
        <v>69</v>
      </c>
      <c r="C42" s="4">
        <f t="shared" si="1"/>
        <v>0.25341547072729048</v>
      </c>
      <c r="D42" s="4">
        <f t="shared" si="2"/>
        <v>6.4219400803934235E-2</v>
      </c>
      <c r="E42">
        <f>+IFERROR(A42*VLOOKUP(B42,Hombres_lxt!$A$1:$B$97,2,FALSE)/VLOOKUP($B$5,Hombres_lxt!$A$2:$B$97,2,FALSE),0)</f>
        <v>0.80385465539918133</v>
      </c>
      <c r="F42">
        <f>+IFERROR(A42*VLOOKUP(B42,Probs_Hombres!$A$2:$B$97,2,FALSE),0)</f>
        <v>1.7689252582643901E-2</v>
      </c>
      <c r="G42">
        <f t="shared" si="3"/>
        <v>3.6034635964742154E-3</v>
      </c>
      <c r="H42">
        <f t="shared" si="4"/>
        <v>9.131734235491687E-4</v>
      </c>
    </row>
    <row r="43" spans="1:8" x14ac:dyDescent="0.25">
      <c r="A43">
        <f t="shared" si="0"/>
        <v>1</v>
      </c>
      <c r="B43">
        <f t="shared" si="5"/>
        <v>70</v>
      </c>
      <c r="C43" s="4">
        <f t="shared" si="1"/>
        <v>0.24366872185316396</v>
      </c>
      <c r="D43" s="4">
        <f t="shared" si="2"/>
        <v>5.937444600955457E-2</v>
      </c>
      <c r="E43">
        <f>+IFERROR(A43*VLOOKUP(B43,Hombres_lxt!$A$1:$B$97,2,FALSE)/VLOOKUP($B$5,Hombres_lxt!$A$2:$B$97,2,FALSE),0)</f>
        <v>0.78963506736009104</v>
      </c>
      <c r="F43">
        <f>+IFERROR(A43*VLOOKUP(B43,Probs_Hombres!$A$2:$B$97,2,FALSE),0)</f>
        <v>1.94228554032767E-2</v>
      </c>
      <c r="G43">
        <f t="shared" si="3"/>
        <v>3.7371393250155431E-3</v>
      </c>
      <c r="H43">
        <f t="shared" si="4"/>
        <v>9.10623962713733E-4</v>
      </c>
    </row>
    <row r="44" spans="1:8" x14ac:dyDescent="0.25">
      <c r="A44">
        <f t="shared" si="0"/>
        <v>1</v>
      </c>
      <c r="B44">
        <f t="shared" si="5"/>
        <v>71</v>
      </c>
      <c r="C44" s="4">
        <f t="shared" si="1"/>
        <v>0.23429684793573452</v>
      </c>
      <c r="D44" s="4">
        <f t="shared" si="2"/>
        <v>5.4895012952620711E-2</v>
      </c>
      <c r="E44">
        <f>+IFERROR(A44*VLOOKUP(B44,Hombres_lxt!$A$1:$B$97,2,FALSE)/VLOOKUP($B$5,Hombres_lxt!$A$2:$B$97,2,FALSE),0)</f>
        <v>0.77429809962539931</v>
      </c>
      <c r="F44">
        <f>+IFERROR(A44*VLOOKUP(B44,Probs_Hombres!$A$2:$B$97,2,FALSE),0)</f>
        <v>2.1879642803579499E-2</v>
      </c>
      <c r="G44">
        <f t="shared" si="3"/>
        <v>3.9693086168099368E-3</v>
      </c>
      <c r="H44">
        <f t="shared" si="4"/>
        <v>9.2999649740271851E-4</v>
      </c>
    </row>
    <row r="45" spans="1:8" x14ac:dyDescent="0.25">
      <c r="A45">
        <f t="shared" si="0"/>
        <v>1</v>
      </c>
      <c r="B45">
        <f t="shared" si="5"/>
        <v>72</v>
      </c>
      <c r="C45" s="4">
        <f t="shared" si="1"/>
        <v>0.22528543070743706</v>
      </c>
      <c r="D45" s="4">
        <f t="shared" si="2"/>
        <v>5.0753525289035421E-2</v>
      </c>
      <c r="E45">
        <f>+IFERROR(A45*VLOOKUP(B45,Hombres_lxt!$A$1:$B$97,2,FALSE)/VLOOKUP($B$5,Hombres_lxt!$A$2:$B$97,2,FALSE),0)</f>
        <v>0.75735673378210511</v>
      </c>
      <c r="F45">
        <f>+IFERROR(A45*VLOOKUP(B45,Probs_Hombres!$A$2:$B$97,2,FALSE),0)</f>
        <v>2.4956890287099201E-2</v>
      </c>
      <c r="G45">
        <f t="shared" si="3"/>
        <v>4.258180508026406E-3</v>
      </c>
      <c r="H45">
        <f t="shared" si="4"/>
        <v>9.5930602978074183E-4</v>
      </c>
    </row>
    <row r="46" spans="1:8" x14ac:dyDescent="0.25">
      <c r="A46">
        <f t="shared" si="0"/>
        <v>1</v>
      </c>
      <c r="B46">
        <f t="shared" si="5"/>
        <v>73</v>
      </c>
      <c r="C46" s="4">
        <f t="shared" si="1"/>
        <v>0.21662060644945874</v>
      </c>
      <c r="D46" s="4">
        <f t="shared" si="2"/>
        <v>4.6924487138531264E-2</v>
      </c>
      <c r="E46">
        <f>+IFERROR(A46*VLOOKUP(B46,Hombres_lxt!$A$1:$B$97,2,FALSE)/VLOOKUP($B$5,Hombres_lxt!$A$2:$B$97,2,FALSE),0)</f>
        <v>0.73845546486890923</v>
      </c>
      <c r="F46">
        <f>+IFERROR(A46*VLOOKUP(B46,Probs_Hombres!$A$2:$B$97,2,FALSE),0)</f>
        <v>2.7714635676107699E-2</v>
      </c>
      <c r="G46">
        <f t="shared" si="3"/>
        <v>4.4333625677203175E-3</v>
      </c>
      <c r="H46">
        <f t="shared" si="4"/>
        <v>9.6035768802990422E-4</v>
      </c>
    </row>
    <row r="47" spans="1:8" x14ac:dyDescent="0.25">
      <c r="A47">
        <f t="shared" si="0"/>
        <v>1</v>
      </c>
      <c r="B47">
        <f t="shared" si="5"/>
        <v>74</v>
      </c>
      <c r="C47" s="4">
        <f t="shared" si="1"/>
        <v>0.20828904466294101</v>
      </c>
      <c r="D47" s="4">
        <f t="shared" si="2"/>
        <v>4.3384326126600647E-2</v>
      </c>
      <c r="E47">
        <f>+IFERROR(A47*VLOOKUP(B47,Hombres_lxt!$A$1:$B$97,2,FALSE)/VLOOKUP($B$5,Hombres_lxt!$A$2:$B$97,2,FALSE),0)</f>
        <v>0.71798944069703674</v>
      </c>
      <c r="F47">
        <f>+IFERROR(A47*VLOOKUP(B47,Probs_Hombres!$A$2:$B$97,2,FALSE),0)</f>
        <v>3.0051722100052601E-2</v>
      </c>
      <c r="G47">
        <f t="shared" si="3"/>
        <v>4.4942150460771171E-3</v>
      </c>
      <c r="H47">
        <f t="shared" si="4"/>
        <v>9.3609575845721843E-4</v>
      </c>
    </row>
    <row r="48" spans="1:8" x14ac:dyDescent="0.25">
      <c r="A48">
        <f t="shared" si="0"/>
        <v>1</v>
      </c>
      <c r="B48">
        <f t="shared" si="5"/>
        <v>75</v>
      </c>
      <c r="C48" s="4">
        <f t="shared" si="1"/>
        <v>0.20027792756052021</v>
      </c>
      <c r="D48" s="4">
        <f t="shared" si="2"/>
        <v>4.0111248267936987E-2</v>
      </c>
      <c r="E48">
        <f>+IFERROR(A48*VLOOKUP(B48,Hombres_lxt!$A$1:$B$97,2,FALSE)/VLOOKUP($B$5,Hombres_lxt!$A$2:$B$97,2,FALSE),0)</f>
        <v>0.69641262155443717</v>
      </c>
      <c r="F48">
        <f>+IFERROR(A48*VLOOKUP(B48,Probs_Hombres!$A$2:$B$97,2,FALSE),0)</f>
        <v>3.2738360028679803E-2</v>
      </c>
      <c r="G48">
        <f t="shared" si="3"/>
        <v>4.5662180101989523E-3</v>
      </c>
      <c r="H48">
        <f t="shared" si="4"/>
        <v>9.1451267987216868E-4</v>
      </c>
    </row>
    <row r="49" spans="1:8" x14ac:dyDescent="0.25">
      <c r="A49">
        <f t="shared" si="0"/>
        <v>1</v>
      </c>
      <c r="B49">
        <f t="shared" si="5"/>
        <v>76</v>
      </c>
      <c r="C49" s="4">
        <f t="shared" si="1"/>
        <v>0.19257493034665407</v>
      </c>
      <c r="D49" s="4">
        <f t="shared" si="2"/>
        <v>3.7085103798018659E-2</v>
      </c>
      <c r="E49">
        <f>+IFERROR(A49*VLOOKUP(B49,Hombres_lxt!$A$1:$B$97,2,FALSE)/VLOOKUP($B$5,Hombres_lxt!$A$2:$B$97,2,FALSE),0)</f>
        <v>0.67361321442147126</v>
      </c>
      <c r="F49">
        <f>+IFERROR(A49*VLOOKUP(B49,Probs_Hombres!$A$2:$B$97,2,FALSE),0)</f>
        <v>3.6738432714536799E-2</v>
      </c>
      <c r="G49">
        <f t="shared" si="3"/>
        <v>4.7657468858626484E-3</v>
      </c>
      <c r="H49">
        <f t="shared" si="4"/>
        <v>9.1776337459478308E-4</v>
      </c>
    </row>
    <row r="50" spans="1:8" x14ac:dyDescent="0.25">
      <c r="A50">
        <f t="shared" si="0"/>
        <v>1</v>
      </c>
      <c r="B50">
        <f t="shared" si="5"/>
        <v>77</v>
      </c>
      <c r="C50" s="4">
        <f t="shared" si="1"/>
        <v>0.18516820225639813</v>
      </c>
      <c r="D50" s="4">
        <f t="shared" si="2"/>
        <v>3.4287263126866356E-2</v>
      </c>
      <c r="E50">
        <f>+IFERROR(A50*VLOOKUP(B50,Hombres_lxt!$A$1:$B$97,2,FALSE)/VLOOKUP($B$5,Hombres_lxt!$A$2:$B$97,2,FALSE),0)</f>
        <v>0.64886572066782522</v>
      </c>
      <c r="F50">
        <f>+IFERROR(A50*VLOOKUP(B50,Probs_Hombres!$A$2:$B$97,2,FALSE),0)</f>
        <v>4.1702433934986301E-2</v>
      </c>
      <c r="G50">
        <f t="shared" si="3"/>
        <v>5.0105182039601234E-3</v>
      </c>
      <c r="H50">
        <f t="shared" si="4"/>
        <v>9.2778864820025262E-4</v>
      </c>
    </row>
    <row r="51" spans="1:8" x14ac:dyDescent="0.25">
      <c r="A51">
        <f t="shared" si="0"/>
        <v>1</v>
      </c>
      <c r="B51">
        <f t="shared" si="5"/>
        <v>78</v>
      </c>
      <c r="C51" s="4">
        <f t="shared" si="1"/>
        <v>0.17804634832345972</v>
      </c>
      <c r="D51" s="4">
        <f t="shared" si="2"/>
        <v>3.1700502151318748E-2</v>
      </c>
      <c r="E51">
        <f>+IFERROR(A51*VLOOKUP(B51,Hombres_lxt!$A$1:$B$97,2,FALSE)/VLOOKUP($B$5,Hombres_lxt!$A$2:$B$97,2,FALSE),0)</f>
        <v>0.62180644081899805</v>
      </c>
      <c r="F51">
        <f>+IFERROR(A51*VLOOKUP(B51,Probs_Hombres!$A$2:$B$97,2,FALSE),0)</f>
        <v>4.6424869490506601E-2</v>
      </c>
      <c r="G51">
        <f t="shared" si="3"/>
        <v>5.1397142998449103E-3</v>
      </c>
      <c r="H51">
        <f t="shared" si="4"/>
        <v>9.1510736251325386E-4</v>
      </c>
    </row>
    <row r="52" spans="1:8" x14ac:dyDescent="0.25">
      <c r="A52">
        <f t="shared" si="0"/>
        <v>1</v>
      </c>
      <c r="B52">
        <f t="shared" si="5"/>
        <v>79</v>
      </c>
      <c r="C52" s="4">
        <f t="shared" si="1"/>
        <v>0.17119841184948048</v>
      </c>
      <c r="D52" s="4">
        <f t="shared" si="2"/>
        <v>2.9308896219784344E-2</v>
      </c>
      <c r="E52">
        <f>+IFERROR(A52*VLOOKUP(B52,Hombres_lxt!$A$1:$B$97,2,FALSE)/VLOOKUP($B$5,Hombres_lxt!$A$2:$B$97,2,FALSE),0)</f>
        <v>0.59293915795561969</v>
      </c>
      <c r="F52">
        <f>+IFERROR(A52*VLOOKUP(B52,Probs_Hombres!$A$2:$B$97,2,FALSE),0)</f>
        <v>4.96338920556861E-2</v>
      </c>
      <c r="G52">
        <f t="shared" si="3"/>
        <v>5.0383484021825475E-3</v>
      </c>
      <c r="H52">
        <f t="shared" si="4"/>
        <v>8.6255724479801976E-4</v>
      </c>
    </row>
    <row r="53" spans="1:8" x14ac:dyDescent="0.25">
      <c r="A53">
        <f t="shared" si="0"/>
        <v>1</v>
      </c>
      <c r="B53">
        <f t="shared" si="5"/>
        <v>80</v>
      </c>
      <c r="C53" s="4">
        <f t="shared" si="1"/>
        <v>0.1646138575475774</v>
      </c>
      <c r="D53" s="4">
        <f t="shared" si="2"/>
        <v>2.7097722096694102E-2</v>
      </c>
      <c r="E53">
        <f>+IFERROR(A53*VLOOKUP(B53,Hombres_lxt!$A$1:$B$97,2,FALSE)/VLOOKUP($B$5,Hombres_lxt!$A$2:$B$97,2,FALSE),0)</f>
        <v>0.56350927979406096</v>
      </c>
      <c r="F53">
        <f>+IFERROR(A53*VLOOKUP(B53,Probs_Hombres!$A$2:$B$97,2,FALSE),0)</f>
        <v>5.3454215282295603E-2</v>
      </c>
      <c r="G53">
        <f t="shared" si="3"/>
        <v>4.9584897864501836E-3</v>
      </c>
      <c r="H53">
        <f t="shared" si="4"/>
        <v>8.1623613135782785E-4</v>
      </c>
    </row>
    <row r="54" spans="1:8" x14ac:dyDescent="0.25">
      <c r="A54">
        <f t="shared" si="0"/>
        <v>1</v>
      </c>
      <c r="B54">
        <f t="shared" si="5"/>
        <v>81</v>
      </c>
      <c r="C54" s="4">
        <f t="shared" si="1"/>
        <v>0.15828255533420904</v>
      </c>
      <c r="D54" s="4">
        <f t="shared" si="2"/>
        <v>2.5053367323126945E-2</v>
      </c>
      <c r="E54">
        <f>+IFERROR(A54*VLOOKUP(B54,Hombres_lxt!$A$1:$B$97,2,FALSE)/VLOOKUP($B$5,Hombres_lxt!$A$2:$B$97,2,FALSE),0)</f>
        <v>0.53338733343837785</v>
      </c>
      <c r="F54">
        <f>+IFERROR(A54*VLOOKUP(B54,Probs_Hombres!$A$2:$B$97,2,FALSE),0)</f>
        <v>5.9473456155524997E-2</v>
      </c>
      <c r="G54">
        <f t="shared" si="3"/>
        <v>5.0211006638839388E-3</v>
      </c>
      <c r="H54">
        <f t="shared" si="4"/>
        <v>7.9475264366984325E-4</v>
      </c>
    </row>
    <row r="55" spans="1:8" x14ac:dyDescent="0.25">
      <c r="A55">
        <f t="shared" si="0"/>
        <v>1</v>
      </c>
      <c r="B55">
        <f t="shared" si="5"/>
        <v>82</v>
      </c>
      <c r="C55" s="4">
        <f t="shared" si="1"/>
        <v>0.15219476474443175</v>
      </c>
      <c r="D55" s="4">
        <f t="shared" si="2"/>
        <v>2.3163246415612924E-2</v>
      </c>
      <c r="E55">
        <f>+IFERROR(A55*VLOOKUP(B55,Hombres_lxt!$A$1:$B$97,2,FALSE)/VLOOKUP($B$5,Hombres_lxt!$A$2:$B$97,2,FALSE),0)</f>
        <v>0.50166494524921812</v>
      </c>
      <c r="F55">
        <f>+IFERROR(A55*VLOOKUP(B55,Probs_Hombres!$A$2:$B$97,2,FALSE),0)</f>
        <v>6.7653262595787897E-2</v>
      </c>
      <c r="G55">
        <f t="shared" si="3"/>
        <v>5.1653792552606454E-3</v>
      </c>
      <c r="H55">
        <f t="shared" si="4"/>
        <v>7.8614368057016186E-4</v>
      </c>
    </row>
    <row r="56" spans="1:8" x14ac:dyDescent="0.25">
      <c r="A56">
        <f t="shared" si="0"/>
        <v>1</v>
      </c>
      <c r="B56">
        <f t="shared" si="5"/>
        <v>83</v>
      </c>
      <c r="C56" s="4">
        <f t="shared" si="1"/>
        <v>0.14634111994656898</v>
      </c>
      <c r="D56" s="4">
        <f t="shared" si="2"/>
        <v>2.141572338721609E-2</v>
      </c>
      <c r="E56">
        <f>+IFERROR(A56*VLOOKUP(B56,Hombres_lxt!$A$1:$B$97,2,FALSE)/VLOOKUP($B$5,Hombres_lxt!$A$2:$B$97,2,FALSE),0)</f>
        <v>0.46772567497317119</v>
      </c>
      <c r="F56">
        <f>+IFERROR(A56*VLOOKUP(B56,Probs_Hombres!$A$2:$B$97,2,FALSE),0)</f>
        <v>7.6812527023753893E-2</v>
      </c>
      <c r="G56">
        <f t="shared" si="3"/>
        <v>5.2576253745835804E-3</v>
      </c>
      <c r="H56">
        <f t="shared" si="4"/>
        <v>7.6940678557606041E-4</v>
      </c>
    </row>
    <row r="57" spans="1:8" x14ac:dyDescent="0.25">
      <c r="A57">
        <f t="shared" si="0"/>
        <v>1</v>
      </c>
      <c r="B57">
        <f t="shared" si="5"/>
        <v>84</v>
      </c>
      <c r="C57" s="4">
        <f t="shared" si="1"/>
        <v>0.14071261533323939</v>
      </c>
      <c r="D57" s="4">
        <f t="shared" si="2"/>
        <v>1.9800040113920201E-2</v>
      </c>
      <c r="E57">
        <f>+IFERROR(A57*VLOOKUP(B57,Hombres_lxt!$A$1:$B$97,2,FALSE)/VLOOKUP($B$5,Hombres_lxt!$A$2:$B$97,2,FALSE),0)</f>
        <v>0.43179848392459091</v>
      </c>
      <c r="F57">
        <f>+IFERROR(A57*VLOOKUP(B57,Probs_Hombres!$A$2:$B$97,2,FALSE),0)</f>
        <v>8.56991148404605E-2</v>
      </c>
      <c r="G57">
        <f t="shared" si="3"/>
        <v>5.207034851379605E-3</v>
      </c>
      <c r="H57">
        <f t="shared" si="4"/>
        <v>7.3269549206894983E-4</v>
      </c>
    </row>
    <row r="58" spans="1:8" x14ac:dyDescent="0.25">
      <c r="A58">
        <f t="shared" si="0"/>
        <v>1</v>
      </c>
      <c r="B58">
        <f t="shared" si="5"/>
        <v>85</v>
      </c>
      <c r="C58" s="4">
        <f t="shared" si="1"/>
        <v>0.13530059166657632</v>
      </c>
      <c r="D58" s="4">
        <f t="shared" si="2"/>
        <v>1.8306250105325626E-2</v>
      </c>
      <c r="E58">
        <f>+IFERROR(A58*VLOOKUP(B58,Hombres_lxt!$A$1:$B$97,2,FALSE)/VLOOKUP($B$5,Hombres_lxt!$A$2:$B$97,2,FALSE),0)</f>
        <v>0.39479373606280066</v>
      </c>
      <c r="F58">
        <f>+IFERROR(A58*VLOOKUP(B58,Probs_Hombres!$A$2:$B$97,2,FALSE),0)</f>
        <v>9.4397727052909497E-2</v>
      </c>
      <c r="G58">
        <f t="shared" si="3"/>
        <v>5.0423325701859359E-3</v>
      </c>
      <c r="H58">
        <f t="shared" si="4"/>
        <v>6.8223058012580582E-4</v>
      </c>
    </row>
    <row r="59" spans="1:8" x14ac:dyDescent="0.25">
      <c r="A59">
        <f t="shared" si="0"/>
        <v>1</v>
      </c>
      <c r="B59">
        <f t="shared" si="5"/>
        <v>86</v>
      </c>
      <c r="C59" s="4">
        <f t="shared" si="1"/>
        <v>0.13009672275632339</v>
      </c>
      <c r="D59" s="4">
        <f t="shared" si="2"/>
        <v>1.6925157271935672E-2</v>
      </c>
      <c r="E59">
        <f>+IFERROR(A59*VLOOKUP(B59,Hombres_lxt!$A$1:$B$97,2,FALSE)/VLOOKUP($B$5,Hombres_lxt!$A$2:$B$97,2,FALSE),0)</f>
        <v>0.35752610472374602</v>
      </c>
      <c r="F59">
        <f>+IFERROR(A59*VLOOKUP(B59,Probs_Hombres!$A$2:$B$97,2,FALSE),0)</f>
        <v>0.10705943181263999</v>
      </c>
      <c r="G59">
        <f t="shared" si="3"/>
        <v>4.9796526244973594E-3</v>
      </c>
      <c r="H59">
        <f t="shared" si="4"/>
        <v>6.4783648691203114E-4</v>
      </c>
    </row>
    <row r="60" spans="1:8" x14ac:dyDescent="0.25">
      <c r="A60">
        <f t="shared" si="0"/>
        <v>1</v>
      </c>
      <c r="B60">
        <f t="shared" si="5"/>
        <v>87</v>
      </c>
      <c r="C60" s="4">
        <f t="shared" si="1"/>
        <v>0.12509300265031092</v>
      </c>
      <c r="D60" s="4">
        <f t="shared" si="2"/>
        <v>1.5648259312070704E-2</v>
      </c>
      <c r="E60">
        <f>+IFERROR(A60*VLOOKUP(B60,Hombres_lxt!$A$1:$B$97,2,FALSE)/VLOOKUP($B$5,Hombres_lxt!$A$2:$B$97,2,FALSE),0)</f>
        <v>0.31924956309383534</v>
      </c>
      <c r="F60">
        <f>+IFERROR(A60*VLOOKUP(B60,Probs_Hombres!$A$2:$B$97,2,FALSE),0)</f>
        <v>0.12381758880711501</v>
      </c>
      <c r="G60">
        <f t="shared" si="3"/>
        <v>4.9447651661489178E-3</v>
      </c>
      <c r="H60">
        <f t="shared" si="4"/>
        <v>6.1855552203423205E-4</v>
      </c>
    </row>
    <row r="61" spans="1:8" x14ac:dyDescent="0.25">
      <c r="A61">
        <f t="shared" si="0"/>
        <v>1</v>
      </c>
      <c r="B61">
        <f t="shared" si="5"/>
        <v>88</v>
      </c>
      <c r="C61" s="4">
        <f t="shared" si="1"/>
        <v>0.12028173331760666</v>
      </c>
      <c r="D61" s="4">
        <f t="shared" si="2"/>
        <v>1.4467695369887852E-2</v>
      </c>
      <c r="E61">
        <f>+IFERROR(A61*VLOOKUP(B61,Hombres_lxt!$A$1:$B$97,2,FALSE)/VLOOKUP($B$5,Hombres_lxt!$A$2:$B$97,2,FALSE),0)</f>
        <v>0.27972085196383173</v>
      </c>
      <c r="F61">
        <f>+IFERROR(A61*VLOOKUP(B61,Probs_Hombres!$A$2:$B$97,2,FALSE),0)</f>
        <v>0.139828129273494</v>
      </c>
      <c r="G61">
        <f t="shared" si="3"/>
        <v>4.7045606050127508E-3</v>
      </c>
      <c r="H61">
        <f t="shared" si="4"/>
        <v>5.6587270406866202E-4</v>
      </c>
    </row>
    <row r="62" spans="1:8" x14ac:dyDescent="0.25">
      <c r="A62">
        <f t="shared" si="0"/>
        <v>1</v>
      </c>
      <c r="B62">
        <f t="shared" si="5"/>
        <v>89</v>
      </c>
      <c r="C62" s="4">
        <f t="shared" si="1"/>
        <v>0.11565551280539103</v>
      </c>
      <c r="D62" s="4">
        <f t="shared" si="2"/>
        <v>1.3376197642277968E-2</v>
      </c>
      <c r="E62">
        <f>+IFERROR(A62*VLOOKUP(B62,Hombres_lxt!$A$1:$B$97,2,FALSE)/VLOOKUP($B$5,Hombres_lxt!$A$2:$B$97,2,FALSE),0)</f>
        <v>0.24060800851494116</v>
      </c>
      <c r="F62">
        <f>+IFERROR(A62*VLOOKUP(B62,Probs_Hombres!$A$2:$B$97,2,FALSE),0)</f>
        <v>0.14502248124206699</v>
      </c>
      <c r="G62">
        <f t="shared" si="3"/>
        <v>4.0356337784021807E-3</v>
      </c>
      <c r="H62">
        <f t="shared" si="4"/>
        <v>4.6674329413586197E-4</v>
      </c>
    </row>
    <row r="63" spans="1:8" x14ac:dyDescent="0.25">
      <c r="A63">
        <f t="shared" si="0"/>
        <v>1</v>
      </c>
      <c r="B63">
        <f t="shared" si="5"/>
        <v>90</v>
      </c>
      <c r="C63" s="4">
        <f t="shared" si="1"/>
        <v>0.11120722385133754</v>
      </c>
      <c r="D63" s="4">
        <f t="shared" si="2"/>
        <v>1.2367046636721493E-2</v>
      </c>
      <c r="E63">
        <f>+IFERROR(A63*VLOOKUP(B63,Hombres_lxt!$A$1:$B$97,2,FALSE)/VLOOKUP($B$5,Hombres_lxt!$A$2:$B$97,2,FALSE),0)</f>
        <v>0.20571443811339199</v>
      </c>
      <c r="F63">
        <f>+IFERROR(A63*VLOOKUP(B63,Probs_Hombres!$A$2:$B$97,2,FALSE),0)</f>
        <v>0.14743913339932599</v>
      </c>
      <c r="G63">
        <f t="shared" si="3"/>
        <v>3.3729549653289553E-3</v>
      </c>
      <c r="H63">
        <f t="shared" si="4"/>
        <v>3.7509695786981743E-4</v>
      </c>
    </row>
    <row r="64" spans="1:8" x14ac:dyDescent="0.25">
      <c r="A64">
        <f t="shared" si="0"/>
        <v>1</v>
      </c>
      <c r="B64">
        <f t="shared" si="5"/>
        <v>91</v>
      </c>
      <c r="C64" s="4">
        <f t="shared" si="1"/>
        <v>0.10693002293397837</v>
      </c>
      <c r="D64" s="4">
        <f t="shared" si="2"/>
        <v>1.1434029804661142E-2</v>
      </c>
      <c r="E64">
        <f>+IFERROR(A64*VLOOKUP(B64,Hombres_lxt!$A$1:$B$97,2,FALSE)/VLOOKUP($B$5,Hombres_lxt!$A$2:$B$97,2,FALSE),0)</f>
        <v>0.1753840796302242</v>
      </c>
      <c r="F64">
        <f>+IFERROR(A64*VLOOKUP(B64,Probs_Hombres!$A$2:$B$97,2,FALSE),0)</f>
        <v>0.160751076812814</v>
      </c>
      <c r="G64">
        <f t="shared" si="3"/>
        <v>3.0146973472387917E-3</v>
      </c>
      <c r="H64">
        <f t="shared" si="4"/>
        <v>3.2236165647924777E-4</v>
      </c>
    </row>
    <row r="65" spans="1:8" x14ac:dyDescent="0.25">
      <c r="A65">
        <f t="shared" si="0"/>
        <v>1</v>
      </c>
      <c r="B65">
        <f t="shared" si="5"/>
        <v>92</v>
      </c>
      <c r="C65" s="4">
        <f t="shared" si="1"/>
        <v>0.10281732974420998</v>
      </c>
      <c r="D65" s="4">
        <f t="shared" si="2"/>
        <v>1.0571403295729608E-2</v>
      </c>
      <c r="E65">
        <f>+IFERROR(A65*VLOOKUP(B65,Hombres_lxt!$A$1:$B$97,2,FALSE)/VLOOKUP($B$5,Hombres_lxt!$A$2:$B$97,2,FALSE),0)</f>
        <v>0.14719089997384135</v>
      </c>
      <c r="F65">
        <f>+IFERROR(A65*VLOOKUP(B65,Probs_Hombres!$A$2:$B$97,2,FALSE),0)</f>
        <v>0.17992996212797599</v>
      </c>
      <c r="G65">
        <f t="shared" si="3"/>
        <v>2.7230196162147872E-3</v>
      </c>
      <c r="H65">
        <f t="shared" si="4"/>
        <v>2.799736057803079E-4</v>
      </c>
    </row>
    <row r="66" spans="1:8" x14ac:dyDescent="0.25">
      <c r="A66">
        <f t="shared" si="0"/>
        <v>1</v>
      </c>
      <c r="B66">
        <f t="shared" si="5"/>
        <v>93</v>
      </c>
      <c r="C66" s="4">
        <f t="shared" si="1"/>
        <v>9.8862817061740368E-2</v>
      </c>
      <c r="D66" s="4">
        <f t="shared" si="2"/>
        <v>9.7738565973831404E-3</v>
      </c>
      <c r="E66">
        <f>+IFERROR(A66*VLOOKUP(B66,Hombres_lxt!$A$1:$B$97,2,FALSE)/VLOOKUP($B$5,Hombres_lxt!$A$2:$B$97,2,FALSE),0)</f>
        <v>0.12070684691596538</v>
      </c>
      <c r="F66">
        <f>+IFERROR(A66*VLOOKUP(B66,Probs_Hombres!$A$2:$B$97,2,FALSE),0)</f>
        <v>0.19196617320968801</v>
      </c>
      <c r="G66">
        <f t="shared" si="3"/>
        <v>2.2908127642928236E-3</v>
      </c>
      <c r="H66">
        <f t="shared" si="4"/>
        <v>2.2647620323898112E-4</v>
      </c>
    </row>
    <row r="67" spans="1:8" x14ac:dyDescent="0.25">
      <c r="A67">
        <f t="shared" si="0"/>
        <v>1</v>
      </c>
      <c r="B67">
        <f t="shared" si="5"/>
        <v>94</v>
      </c>
      <c r="C67" s="4">
        <f t="shared" si="1"/>
        <v>9.506040102090417E-2</v>
      </c>
      <c r="D67" s="4">
        <f t="shared" si="2"/>
        <v>9.0364798422551233E-3</v>
      </c>
      <c r="E67">
        <f>+IFERROR(A67*VLOOKUP(B67,Hombres_lxt!$A$1:$B$97,2,FALSE)/VLOOKUP($B$5,Hombres_lxt!$A$2:$B$97,2,FALSE),0)</f>
        <v>9.7535215433299877E-2</v>
      </c>
      <c r="F67">
        <f>+IFERROR(A67*VLOOKUP(B67,Probs_Hombres!$A$2:$B$97,2,FALSE),0)</f>
        <v>0.19872536729401299</v>
      </c>
      <c r="G67">
        <f t="shared" si="3"/>
        <v>1.8425292797200751E-3</v>
      </c>
      <c r="H67">
        <f t="shared" si="4"/>
        <v>1.7515157222294813E-4</v>
      </c>
    </row>
    <row r="68" spans="1:8" x14ac:dyDescent="0.25">
      <c r="A68">
        <f t="shared" si="0"/>
        <v>1</v>
      </c>
      <c r="B68">
        <f t="shared" si="5"/>
        <v>95</v>
      </c>
      <c r="C68" s="4">
        <f t="shared" si="1"/>
        <v>9.1404231750869397E-2</v>
      </c>
      <c r="D68" s="4">
        <f t="shared" si="2"/>
        <v>8.3547335819666446E-3</v>
      </c>
      <c r="E68">
        <f>+IFERROR(A68*VLOOKUP(B68,Hombres_lxt!$A$1:$B$97,2,FALSE)/VLOOKUP($B$5,Hombres_lxt!$A$2:$B$97,2,FALSE),0)</f>
        <v>7.8152493922216668E-2</v>
      </c>
      <c r="F68">
        <f>+IFERROR(A68*VLOOKUP(B68,Probs_Hombres!$A$2:$B$97,2,FALSE),0)</f>
        <v>1</v>
      </c>
      <c r="G68">
        <f t="shared" si="3"/>
        <v>7.1434686663747046E-3</v>
      </c>
      <c r="H68">
        <f t="shared" si="4"/>
        <v>6.5294326548638766E-4</v>
      </c>
    </row>
    <row r="69" spans="1:8" x14ac:dyDescent="0.25">
      <c r="B69">
        <f t="shared" si="5"/>
        <v>96</v>
      </c>
    </row>
    <row r="70" spans="1:8" x14ac:dyDescent="0.25">
      <c r="B70">
        <f t="shared" si="5"/>
        <v>97</v>
      </c>
    </row>
    <row r="71" spans="1:8" x14ac:dyDescent="0.25">
      <c r="B71">
        <f t="shared" si="5"/>
        <v>98</v>
      </c>
    </row>
    <row r="72" spans="1:8" x14ac:dyDescent="0.25">
      <c r="B72">
        <f t="shared" si="5"/>
        <v>99</v>
      </c>
    </row>
    <row r="73" spans="1:8" x14ac:dyDescent="0.25">
      <c r="B73">
        <f t="shared" si="5"/>
        <v>100</v>
      </c>
    </row>
    <row r="74" spans="1:8" x14ac:dyDescent="0.25">
      <c r="B74">
        <f t="shared" ref="B74:B83" si="6">+B73+1</f>
        <v>101</v>
      </c>
    </row>
    <row r="75" spans="1:8" x14ac:dyDescent="0.25">
      <c r="B75">
        <f t="shared" si="6"/>
        <v>102</v>
      </c>
    </row>
    <row r="76" spans="1:8" x14ac:dyDescent="0.25">
      <c r="B76">
        <f t="shared" si="6"/>
        <v>103</v>
      </c>
    </row>
    <row r="77" spans="1:8" x14ac:dyDescent="0.25">
      <c r="B77">
        <f t="shared" si="6"/>
        <v>104</v>
      </c>
    </row>
    <row r="78" spans="1:8" x14ac:dyDescent="0.25">
      <c r="B78">
        <f t="shared" si="6"/>
        <v>105</v>
      </c>
    </row>
    <row r="79" spans="1:8" x14ac:dyDescent="0.25">
      <c r="B79">
        <f t="shared" si="6"/>
        <v>106</v>
      </c>
    </row>
    <row r="80" spans="1:8" x14ac:dyDescent="0.25">
      <c r="B80">
        <f t="shared" si="6"/>
        <v>107</v>
      </c>
    </row>
    <row r="81" spans="2:2" x14ac:dyDescent="0.25">
      <c r="B81">
        <f t="shared" si="6"/>
        <v>108</v>
      </c>
    </row>
    <row r="82" spans="2:2" x14ac:dyDescent="0.25">
      <c r="B82">
        <f t="shared" si="6"/>
        <v>109</v>
      </c>
    </row>
    <row r="83" spans="2:2" x14ac:dyDescent="0.25">
      <c r="B83">
        <f t="shared" si="6"/>
        <v>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98"/>
  <sheetViews>
    <sheetView workbookViewId="0">
      <selection activeCell="L5" sqref="L5"/>
    </sheetView>
  </sheetViews>
  <sheetFormatPr baseColWidth="10" defaultRowHeight="15" x14ac:dyDescent="0.25"/>
  <sheetData>
    <row r="1" spans="1:14" x14ac:dyDescent="0.25">
      <c r="A1" t="s">
        <v>91</v>
      </c>
      <c r="B1" s="3">
        <v>0.04</v>
      </c>
      <c r="D1" t="s">
        <v>92</v>
      </c>
      <c r="E1">
        <f>1/(1+B1)</f>
        <v>0.96153846153846145</v>
      </c>
    </row>
    <row r="2" spans="1:14" x14ac:dyDescent="0.25">
      <c r="A2" t="s">
        <v>0</v>
      </c>
      <c r="B2" t="s">
        <v>86</v>
      </c>
      <c r="C2" t="s">
        <v>87</v>
      </c>
      <c r="D2" t="s">
        <v>88</v>
      </c>
      <c r="E2" t="s">
        <v>89</v>
      </c>
      <c r="F2" t="s">
        <v>90</v>
      </c>
      <c r="G2" t="s">
        <v>93</v>
      </c>
      <c r="H2" t="s">
        <v>94</v>
      </c>
      <c r="I2" t="s">
        <v>95</v>
      </c>
      <c r="J2" t="s">
        <v>96</v>
      </c>
      <c r="M2" s="5" t="s">
        <v>97</v>
      </c>
    </row>
    <row r="3" spans="1:14" x14ac:dyDescent="0.25">
      <c r="A3">
        <f>+Probs_Hombres!A2</f>
        <v>0</v>
      </c>
      <c r="B3">
        <f>+Probs_Hombres!B2</f>
        <v>8.5968918767913797E-3</v>
      </c>
      <c r="C3">
        <v>100000</v>
      </c>
      <c r="D3">
        <f>+C3-C4</f>
        <v>859.68918767913419</v>
      </c>
      <c r="E3">
        <f>+D3*(1/(1+0.04))^(A3+1)</f>
        <v>826.62421892224438</v>
      </c>
      <c r="F3">
        <f>+($E$1^A3)*C3</f>
        <v>100000</v>
      </c>
      <c r="G3">
        <f>+SUM(E3:$E$98)</f>
        <v>7864.2017743784354</v>
      </c>
      <c r="H3">
        <f>+SUM(G3:$G$98)</f>
        <v>387897.16683959641</v>
      </c>
      <c r="I3">
        <f>+SUM(F3:$F$98)</f>
        <v>2395530.7538661556</v>
      </c>
      <c r="J3">
        <f>+SUM(I3:$I$98)</f>
        <v>52198473.262690373</v>
      </c>
      <c r="L3" t="s">
        <v>98</v>
      </c>
      <c r="M3">
        <v>35</v>
      </c>
      <c r="N3">
        <f>+G38/F38</f>
        <v>0.2056700402618391</v>
      </c>
    </row>
    <row r="4" spans="1:14" x14ac:dyDescent="0.25">
      <c r="A4">
        <f>+Probs_Hombres!A3</f>
        <v>1</v>
      </c>
      <c r="B4">
        <f>+Probs_Hombres!B3</f>
        <v>2.88278322340896E-3</v>
      </c>
      <c r="C4">
        <f>C3*(1-B3)</f>
        <v>99140.310812320866</v>
      </c>
      <c r="D4">
        <f t="shared" ref="D4:D67" si="0">+C4-C5</f>
        <v>285.80002477331436</v>
      </c>
      <c r="E4">
        <f t="shared" ref="E4:E67" si="1">+D4*(1/(1+0.04))^(A4+1)</f>
        <v>264.23818858479501</v>
      </c>
      <c r="F4">
        <f t="shared" ref="F4:F67" si="2">+($E$1^A4)*C4</f>
        <v>95327.221934923902</v>
      </c>
      <c r="G4">
        <f>+SUM(E4:$E$98)</f>
        <v>7037.5775554561924</v>
      </c>
      <c r="H4">
        <f>+SUM(G4:$G$98)</f>
        <v>380032.96506521798</v>
      </c>
      <c r="I4">
        <f>+SUM(F4:$F$98)</f>
        <v>2295530.7538661556</v>
      </c>
      <c r="J4">
        <f>+SUM(I4:$I$98)</f>
        <v>49802942.508824222</v>
      </c>
    </row>
    <row r="5" spans="1:14" x14ac:dyDescent="0.25">
      <c r="A5">
        <f>+Probs_Hombres!A4</f>
        <v>2</v>
      </c>
      <c r="B5">
        <f>+Probs_Hombres!B4</f>
        <v>7.8956543432237298E-4</v>
      </c>
      <c r="C5">
        <f t="shared" ref="C5:C68" si="3">C4*(1-B4)</f>
        <v>98854.510787547551</v>
      </c>
      <c r="D5">
        <f t="shared" si="0"/>
        <v>78.052104744696408</v>
      </c>
      <c r="E5">
        <f t="shared" si="1"/>
        <v>69.388036904635925</v>
      </c>
      <c r="F5">
        <f t="shared" si="2"/>
        <v>91396.5521334574</v>
      </c>
      <c r="G5">
        <f>+SUM(E5:$E$98)</f>
        <v>6773.339366871397</v>
      </c>
      <c r="H5">
        <f>+SUM(G5:$G$98)</f>
        <v>372995.38750976184</v>
      </c>
      <c r="I5">
        <f>+SUM(F5:$F$98)</f>
        <v>2200203.5319312327</v>
      </c>
      <c r="J5">
        <f>+SUM(I5:$I$98)</f>
        <v>47507411.754958063</v>
      </c>
      <c r="L5" s="6" t="s">
        <v>99</v>
      </c>
    </row>
    <row r="6" spans="1:14" x14ac:dyDescent="0.25">
      <c r="A6">
        <f>+Probs_Hombres!A5</f>
        <v>3</v>
      </c>
      <c r="B6">
        <f>+Probs_Hombres!B5</f>
        <v>4.5549259773255301E-4</v>
      </c>
      <c r="C6">
        <f t="shared" si="3"/>
        <v>98776.458682802855</v>
      </c>
      <c r="D6">
        <f t="shared" si="0"/>
        <v>44.991945760251838</v>
      </c>
      <c r="E6">
        <f t="shared" si="1"/>
        <v>38.459303798445362</v>
      </c>
      <c r="F6">
        <f t="shared" si="2"/>
        <v>87811.912091419785</v>
      </c>
      <c r="G6">
        <f>+SUM(E6:$E$98)</f>
        <v>6703.9513299667606</v>
      </c>
      <c r="H6">
        <f>+SUM(G6:$G$98)</f>
        <v>366222.04814289045</v>
      </c>
      <c r="I6">
        <f>+SUM(F6:$F$98)</f>
        <v>2108806.9797977731</v>
      </c>
      <c r="J6">
        <f>+SUM(I6:$I$98)</f>
        <v>45307208.223026834</v>
      </c>
    </row>
    <row r="7" spans="1:14" x14ac:dyDescent="0.25">
      <c r="A7">
        <f>+Probs_Hombres!A6</f>
        <v>4</v>
      </c>
      <c r="B7">
        <f>+Probs_Hombres!B6</f>
        <v>5.4866289667068096E-4</v>
      </c>
      <c r="C7">
        <f t="shared" si="3"/>
        <v>98731.466737042603</v>
      </c>
      <c r="D7">
        <f t="shared" si="0"/>
        <v>54.170292532493477</v>
      </c>
      <c r="E7">
        <f t="shared" si="1"/>
        <v>44.524031813540056</v>
      </c>
      <c r="F7">
        <f t="shared" si="2"/>
        <v>84396.071553335947</v>
      </c>
      <c r="G7">
        <f>+SUM(E7:$E$98)</f>
        <v>6665.4920261683155</v>
      </c>
      <c r="H7">
        <f>+SUM(G7:$G$98)</f>
        <v>359518.09681292367</v>
      </c>
      <c r="I7">
        <f>+SUM(F7:$F$98)</f>
        <v>2020995.0677063535</v>
      </c>
      <c r="J7">
        <f>+SUM(I7:$I$98)</f>
        <v>43198401.243229054</v>
      </c>
    </row>
    <row r="8" spans="1:14" x14ac:dyDescent="0.25">
      <c r="A8">
        <f>+Probs_Hombres!A7</f>
        <v>5</v>
      </c>
      <c r="B8">
        <f>+Probs_Hombres!B7</f>
        <v>5.4245238211677498E-4</v>
      </c>
      <c r="C8">
        <f t="shared" si="3"/>
        <v>98677.29644451011</v>
      </c>
      <c r="D8">
        <f t="shared" si="0"/>
        <v>53.527734517178033</v>
      </c>
      <c r="E8">
        <f t="shared" si="1"/>
        <v>42.303746118352691</v>
      </c>
      <c r="F8">
        <f t="shared" si="2"/>
        <v>81105.544769471016</v>
      </c>
      <c r="G8">
        <f>+SUM(E8:$E$98)</f>
        <v>6620.9679943547753</v>
      </c>
      <c r="H8">
        <f>+SUM(G8:$G$98)</f>
        <v>352852.60478675534</v>
      </c>
      <c r="I8">
        <f>+SUM(F8:$F$98)</f>
        <v>1936598.9961530175</v>
      </c>
      <c r="J8">
        <f>+SUM(I8:$I$98)</f>
        <v>41177406.1755227</v>
      </c>
    </row>
    <row r="9" spans="1:14" x14ac:dyDescent="0.25">
      <c r="A9">
        <f>+Probs_Hombres!A8</f>
        <v>6</v>
      </c>
      <c r="B9">
        <f>+Probs_Hombres!B8</f>
        <v>4.59034151511903E-4</v>
      </c>
      <c r="C9">
        <f t="shared" si="3"/>
        <v>98623.768709992932</v>
      </c>
      <c r="D9">
        <f t="shared" si="0"/>
        <v>45.271677988697775</v>
      </c>
      <c r="E9">
        <f t="shared" si="1"/>
        <v>34.402754537159176</v>
      </c>
      <c r="F9">
        <f t="shared" si="2"/>
        <v>77943.796993757613</v>
      </c>
      <c r="G9">
        <f>+SUM(E9:$E$98)</f>
        <v>6578.6642482364232</v>
      </c>
      <c r="H9">
        <f>+SUM(G9:$G$98)</f>
        <v>346231.63679240056</v>
      </c>
      <c r="I9">
        <f>+SUM(F9:$F$98)</f>
        <v>1855493.4513835465</v>
      </c>
      <c r="J9">
        <f>+SUM(I9:$I$98)</f>
        <v>39240807.179369681</v>
      </c>
    </row>
    <row r="10" spans="1:14" x14ac:dyDescent="0.25">
      <c r="A10">
        <f>+Probs_Hombres!A9</f>
        <v>7</v>
      </c>
      <c r="B10">
        <f>+Probs_Hombres!B9</f>
        <v>4.01808635022258E-4</v>
      </c>
      <c r="C10">
        <f t="shared" si="3"/>
        <v>98578.497032004234</v>
      </c>
      <c r="D10">
        <f t="shared" si="0"/>
        <v>39.609691334975651</v>
      </c>
      <c r="E10">
        <f t="shared" si="1"/>
        <v>28.942413481618647</v>
      </c>
      <c r="F10">
        <f t="shared" si="2"/>
        <v>74911.555893306708</v>
      </c>
      <c r="G10">
        <f>+SUM(E10:$E$98)</f>
        <v>6544.2614936992641</v>
      </c>
      <c r="H10">
        <f>+SUM(G10:$G$98)</f>
        <v>339652.97254416416</v>
      </c>
      <c r="I10">
        <f>+SUM(F10:$F$98)</f>
        <v>1777549.6543897889</v>
      </c>
      <c r="J10">
        <f>+SUM(I10:$I$98)</f>
        <v>37385313.727986142</v>
      </c>
    </row>
    <row r="11" spans="1:14" x14ac:dyDescent="0.25">
      <c r="A11">
        <f>+Probs_Hombres!A10</f>
        <v>8</v>
      </c>
      <c r="B11">
        <f>+Probs_Hombres!B10</f>
        <v>3.8145411489744202E-4</v>
      </c>
      <c r="C11">
        <f t="shared" si="3"/>
        <v>98538.887340669258</v>
      </c>
      <c r="D11">
        <f t="shared" si="0"/>
        <v>37.588064053517883</v>
      </c>
      <c r="E11">
        <f t="shared" si="1"/>
        <v>26.408875220089101</v>
      </c>
      <c r="F11">
        <f t="shared" si="2"/>
        <v>72001.399791620977</v>
      </c>
      <c r="G11">
        <f>+SUM(E11:$E$98)</f>
        <v>6515.3190802176441</v>
      </c>
      <c r="H11">
        <f>+SUM(G11:$G$98)</f>
        <v>333108.71105046495</v>
      </c>
      <c r="I11">
        <f>+SUM(F11:$F$98)</f>
        <v>1702638.0984964825</v>
      </c>
      <c r="J11">
        <f>+SUM(I11:$I$98)</f>
        <v>35607764.073596358</v>
      </c>
    </row>
    <row r="12" spans="1:14" x14ac:dyDescent="0.25">
      <c r="A12">
        <f>+Probs_Hombres!A11</f>
        <v>9</v>
      </c>
      <c r="B12">
        <f>+Probs_Hombres!B11</f>
        <v>3.7643308285236897E-4</v>
      </c>
      <c r="C12">
        <f t="shared" si="3"/>
        <v>98501.29927661574</v>
      </c>
      <c r="D12">
        <f t="shared" si="0"/>
        <v>37.079147751661367</v>
      </c>
      <c r="E12">
        <f t="shared" si="1"/>
        <v>25.049343631620076</v>
      </c>
      <c r="F12">
        <f t="shared" si="2"/>
        <v>69205.706309030851</v>
      </c>
      <c r="G12">
        <f>+SUM(E12:$E$98)</f>
        <v>6488.9102049975563</v>
      </c>
      <c r="H12">
        <f>+SUM(G12:$G$98)</f>
        <v>326593.39197024732</v>
      </c>
      <c r="I12">
        <f>+SUM(F12:$F$98)</f>
        <v>1630636.6987048613</v>
      </c>
      <c r="J12">
        <f>+SUM(I12:$I$98)</f>
        <v>33905125.975099862</v>
      </c>
    </row>
    <row r="13" spans="1:14" x14ac:dyDescent="0.25">
      <c r="A13">
        <f>+Probs_Hombres!A12</f>
        <v>10</v>
      </c>
      <c r="B13">
        <f>+Probs_Hombres!B12</f>
        <v>3.8466267525924801E-4</v>
      </c>
      <c r="C13">
        <f t="shared" si="3"/>
        <v>98464.220128864079</v>
      </c>
      <c r="D13">
        <f t="shared" si="0"/>
        <v>37.875510332087288</v>
      </c>
      <c r="E13">
        <f t="shared" si="1"/>
        <v>24.603209284951422</v>
      </c>
      <c r="F13">
        <f t="shared" si="2"/>
        <v>66518.899030436485</v>
      </c>
      <c r="G13">
        <f>+SUM(E13:$E$98)</f>
        <v>6463.8608613659353</v>
      </c>
      <c r="H13">
        <f>+SUM(G13:$G$98)</f>
        <v>320104.48176524974</v>
      </c>
      <c r="I13">
        <f>+SUM(F13:$F$98)</f>
        <v>1561430.9923958308</v>
      </c>
      <c r="J13">
        <f>+SUM(I13:$I$98)</f>
        <v>32274489.276395008</v>
      </c>
    </row>
    <row r="14" spans="1:14" x14ac:dyDescent="0.25">
      <c r="A14">
        <f>+Probs_Hombres!A13</f>
        <v>11</v>
      </c>
      <c r="B14">
        <f>+Probs_Hombres!B13</f>
        <v>4.04330497795022E-4</v>
      </c>
      <c r="C14">
        <f t="shared" si="3"/>
        <v>98426.344618531992</v>
      </c>
      <c r="D14">
        <f t="shared" si="0"/>
        <v>39.796772915753536</v>
      </c>
      <c r="E14">
        <f t="shared" si="1"/>
        <v>24.856946945987492</v>
      </c>
      <c r="F14">
        <f t="shared" si="2"/>
        <v>63935.876627673206</v>
      </c>
      <c r="G14">
        <f>+SUM(E14:$E$98)</f>
        <v>6439.2576520809844</v>
      </c>
      <c r="H14">
        <f>+SUM(G14:$G$98)</f>
        <v>313640.62090388383</v>
      </c>
      <c r="I14">
        <f>+SUM(F14:$F$98)</f>
        <v>1494912.0933653943</v>
      </c>
      <c r="J14">
        <f>+SUM(I14:$I$98)</f>
        <v>30713058.283999175</v>
      </c>
    </row>
    <row r="15" spans="1:14" x14ac:dyDescent="0.25">
      <c r="A15">
        <f>+Probs_Hombres!A14</f>
        <v>12</v>
      </c>
      <c r="B15">
        <f>+Probs_Hombres!B14</f>
        <v>4.4160302761484801E-4</v>
      </c>
      <c r="C15">
        <f t="shared" si="3"/>
        <v>98386.547845616238</v>
      </c>
      <c r="D15">
        <f t="shared" si="0"/>
        <v>43.447797405198799</v>
      </c>
      <c r="E15">
        <f t="shared" si="1"/>
        <v>26.093621221191881</v>
      </c>
      <c r="F15">
        <f t="shared" si="2"/>
        <v>61451.947502739786</v>
      </c>
      <c r="G15">
        <f>+SUM(E15:$E$98)</f>
        <v>6414.4007051349963</v>
      </c>
      <c r="H15">
        <f>+SUM(G15:$G$98)</f>
        <v>307201.3632518028</v>
      </c>
      <c r="I15">
        <f>+SUM(F15:$F$98)</f>
        <v>1430976.2167377211</v>
      </c>
      <c r="J15">
        <f>+SUM(I15:$I$98)</f>
        <v>29218146.190633781</v>
      </c>
    </row>
    <row r="16" spans="1:14" x14ac:dyDescent="0.25">
      <c r="A16">
        <f>+Probs_Hombres!A15</f>
        <v>13</v>
      </c>
      <c r="B16">
        <f>+Probs_Hombres!B15</f>
        <v>4.8988519887349896E-4</v>
      </c>
      <c r="C16">
        <f t="shared" si="3"/>
        <v>98343.100048211039</v>
      </c>
      <c r="D16">
        <f t="shared" si="0"/>
        <v>48.176829124960932</v>
      </c>
      <c r="E16">
        <f t="shared" si="1"/>
        <v>27.820918389028773</v>
      </c>
      <c r="F16">
        <f t="shared" si="2"/>
        <v>59062.317439105507</v>
      </c>
      <c r="G16">
        <f>+SUM(E16:$E$98)</f>
        <v>6388.3070839138045</v>
      </c>
      <c r="H16">
        <f>+SUM(G16:$G$98)</f>
        <v>300786.96254666778</v>
      </c>
      <c r="I16">
        <f>+SUM(F16:$F$98)</f>
        <v>1369524.2692349814</v>
      </c>
      <c r="J16">
        <f>+SUM(I16:$I$98)</f>
        <v>27787169.973896064</v>
      </c>
    </row>
    <row r="17" spans="1:10" x14ac:dyDescent="0.25">
      <c r="A17">
        <f>+Probs_Hombres!A16</f>
        <v>14</v>
      </c>
      <c r="B17">
        <f>+Probs_Hombres!B16</f>
        <v>5.7123551333587502E-4</v>
      </c>
      <c r="C17">
        <f t="shared" si="3"/>
        <v>98294.923219086078</v>
      </c>
      <c r="D17">
        <f t="shared" si="0"/>
        <v>56.149550923364586</v>
      </c>
      <c r="E17">
        <f t="shared" si="1"/>
        <v>31.17785247103571</v>
      </c>
      <c r="F17">
        <f t="shared" si="2"/>
        <v>56762.868926904725</v>
      </c>
      <c r="G17">
        <f>+SUM(E17:$E$98)</f>
        <v>6360.486165524776</v>
      </c>
      <c r="H17">
        <f>+SUM(G17:$G$98)</f>
        <v>294398.65546275396</v>
      </c>
      <c r="I17">
        <f>+SUM(F17:$F$98)</f>
        <v>1310461.9517958756</v>
      </c>
      <c r="J17">
        <f>+SUM(I17:$I$98)</f>
        <v>26417645.704661082</v>
      </c>
    </row>
    <row r="18" spans="1:10" x14ac:dyDescent="0.25">
      <c r="A18">
        <f>+Probs_Hombres!A17</f>
        <v>15</v>
      </c>
      <c r="B18">
        <f>+Probs_Hombres!B17</f>
        <v>6.9739461431517701E-4</v>
      </c>
      <c r="C18">
        <f t="shared" si="3"/>
        <v>98238.773668162714</v>
      </c>
      <c r="D18">
        <f t="shared" si="0"/>
        <v>68.511191673096619</v>
      </c>
      <c r="E18">
        <f t="shared" si="1"/>
        <v>36.57868536024597</v>
      </c>
      <c r="F18">
        <f t="shared" si="2"/>
        <v>54548.503808014277</v>
      </c>
      <c r="G18">
        <f>+SUM(E18:$E$98)</f>
        <v>6329.3083130537398</v>
      </c>
      <c r="H18">
        <f>+SUM(G18:$G$98)</f>
        <v>288038.16929722915</v>
      </c>
      <c r="I18">
        <f>+SUM(F18:$F$98)</f>
        <v>1253699.0828689707</v>
      </c>
      <c r="J18">
        <f>+SUM(I18:$I$98)</f>
        <v>25107183.75286521</v>
      </c>
    </row>
    <row r="19" spans="1:10" x14ac:dyDescent="0.25">
      <c r="A19">
        <f>+Probs_Hombres!A18</f>
        <v>16</v>
      </c>
      <c r="B19">
        <f>+Probs_Hombres!B18</f>
        <v>8.7076110738041701E-4</v>
      </c>
      <c r="C19">
        <f t="shared" si="3"/>
        <v>98170.262476489617</v>
      </c>
      <c r="D19">
        <f t="shared" si="0"/>
        <v>85.482846465849434</v>
      </c>
      <c r="E19">
        <f t="shared" si="1"/>
        <v>43.884606354821614</v>
      </c>
      <c r="F19">
        <f t="shared" si="2"/>
        <v>52413.9057454227</v>
      </c>
      <c r="G19">
        <f>+SUM(E19:$E$98)</f>
        <v>6292.729627693494</v>
      </c>
      <c r="H19">
        <f>+SUM(G19:$G$98)</f>
        <v>281708.86098417552</v>
      </c>
      <c r="I19">
        <f>+SUM(F19:$F$98)</f>
        <v>1199150.5790609564</v>
      </c>
      <c r="J19">
        <f>+SUM(I19:$I$98)</f>
        <v>23853484.669996239</v>
      </c>
    </row>
    <row r="20" spans="1:10" x14ac:dyDescent="0.25">
      <c r="A20">
        <f>+Probs_Hombres!A19</f>
        <v>17</v>
      </c>
      <c r="B20">
        <f>+Probs_Hombres!B19</f>
        <v>1.08891446712216E-3</v>
      </c>
      <c r="C20">
        <f t="shared" si="3"/>
        <v>98084.779630023768</v>
      </c>
      <c r="D20">
        <f t="shared" si="0"/>
        <v>106.80593554361258</v>
      </c>
      <c r="E20">
        <f t="shared" si="1"/>
        <v>52.722413275249309</v>
      </c>
      <c r="F20">
        <f t="shared" si="2"/>
        <v>50354.101687320857</v>
      </c>
      <c r="G20">
        <f>+SUM(E20:$E$98)</f>
        <v>6248.8450213386723</v>
      </c>
      <c r="H20">
        <f>+SUM(G20:$G$98)</f>
        <v>275416.13135648193</v>
      </c>
      <c r="I20">
        <f>+SUM(F20:$F$98)</f>
        <v>1146736.6733155334</v>
      </c>
      <c r="J20">
        <f>+SUM(I20:$I$98)</f>
        <v>22654334.090935279</v>
      </c>
    </row>
    <row r="21" spans="1:10" x14ac:dyDescent="0.25">
      <c r="A21">
        <f>+Probs_Hombres!A20</f>
        <v>18</v>
      </c>
      <c r="B21">
        <f>+Probs_Hombres!B20</f>
        <v>1.3404917734480301E-3</v>
      </c>
      <c r="C21">
        <f t="shared" si="3"/>
        <v>97977.973694480155</v>
      </c>
      <c r="D21">
        <f t="shared" si="0"/>
        <v>131.33866771656903</v>
      </c>
      <c r="E21">
        <f t="shared" si="1"/>
        <v>62.338903616403549</v>
      </c>
      <c r="F21">
        <f t="shared" si="2"/>
        <v>48364.683055302485</v>
      </c>
      <c r="G21">
        <f>+SUM(E21:$E$98)</f>
        <v>6196.1226080634233</v>
      </c>
      <c r="H21">
        <f>+SUM(G21:$G$98)</f>
        <v>269167.28633514326</v>
      </c>
      <c r="I21">
        <f>+SUM(F21:$F$98)</f>
        <v>1096382.5716282129</v>
      </c>
      <c r="J21">
        <f>+SUM(I21:$I$98)</f>
        <v>21507597.417619746</v>
      </c>
    </row>
    <row r="22" spans="1:10" x14ac:dyDescent="0.25">
      <c r="A22">
        <f>+Probs_Hombres!A21</f>
        <v>19</v>
      </c>
      <c r="B22">
        <f>+Probs_Hombres!B21</f>
        <v>1.60087217798163E-3</v>
      </c>
      <c r="C22">
        <f t="shared" si="3"/>
        <v>97846.635026763586</v>
      </c>
      <c r="D22">
        <f t="shared" si="0"/>
        <v>156.63995572346903</v>
      </c>
      <c r="E22">
        <f t="shared" si="1"/>
        <v>71.488431045739546</v>
      </c>
      <c r="F22">
        <f t="shared" si="2"/>
        <v>46442.164034174442</v>
      </c>
      <c r="G22">
        <f>+SUM(E22:$E$98)</f>
        <v>6133.7837044470189</v>
      </c>
      <c r="H22">
        <f>+SUM(G22:$G$98)</f>
        <v>262971.16372707987</v>
      </c>
      <c r="I22">
        <f>+SUM(F22:$F$98)</f>
        <v>1048017.8885729099</v>
      </c>
      <c r="J22">
        <f>+SUM(I22:$I$98)</f>
        <v>20411214.845991533</v>
      </c>
    </row>
    <row r="23" spans="1:10" x14ac:dyDescent="0.25">
      <c r="A23">
        <f>+Probs_Hombres!A22</f>
        <v>20</v>
      </c>
      <c r="B23">
        <f>+Probs_Hombres!B22</f>
        <v>1.8398726649071901E-3</v>
      </c>
      <c r="C23">
        <f t="shared" si="3"/>
        <v>97689.995071040117</v>
      </c>
      <c r="D23">
        <f t="shared" si="0"/>
        <v>179.73715156612161</v>
      </c>
      <c r="E23">
        <f t="shared" si="1"/>
        <v>78.874701655943184</v>
      </c>
      <c r="F23">
        <f t="shared" si="2"/>
        <v>44584.438524891215</v>
      </c>
      <c r="G23">
        <f>+SUM(E23:$E$98)</f>
        <v>6062.2952734012797</v>
      </c>
      <c r="H23">
        <f>+SUM(G23:$G$98)</f>
        <v>256837.38002263283</v>
      </c>
      <c r="I23">
        <f>+SUM(F23:$F$98)</f>
        <v>1001575.7245387353</v>
      </c>
      <c r="J23">
        <f>+SUM(I23:$I$98)</f>
        <v>19363196.957418624</v>
      </c>
    </row>
    <row r="24" spans="1:10" x14ac:dyDescent="0.25">
      <c r="A24">
        <f>+Probs_Hombres!A23</f>
        <v>21</v>
      </c>
      <c r="B24">
        <f>+Probs_Hombres!B23</f>
        <v>2.0146940774388401E-3</v>
      </c>
      <c r="C24">
        <f t="shared" si="3"/>
        <v>97510.257919473996</v>
      </c>
      <c r="D24">
        <f t="shared" si="0"/>
        <v>196.45333911989292</v>
      </c>
      <c r="E24">
        <f t="shared" si="1"/>
        <v>82.894544667136302</v>
      </c>
      <c r="F24">
        <f t="shared" si="2"/>
        <v>42790.77772612407</v>
      </c>
      <c r="G24">
        <f>+SUM(E24:$E$98)</f>
        <v>5983.4205717453369</v>
      </c>
      <c r="H24">
        <f>+SUM(G24:$G$98)</f>
        <v>250775.08474923158</v>
      </c>
      <c r="I24">
        <f>+SUM(F24:$F$98)</f>
        <v>956991.28601384407</v>
      </c>
      <c r="J24">
        <f>+SUM(I24:$I$98)</f>
        <v>18361621.232879888</v>
      </c>
    </row>
    <row r="25" spans="1:10" x14ac:dyDescent="0.25">
      <c r="A25">
        <f>+Probs_Hombres!A24</f>
        <v>22</v>
      </c>
      <c r="B25">
        <f>+Probs_Hombres!B24</f>
        <v>2.1545197718398001E-3</v>
      </c>
      <c r="C25">
        <f t="shared" si="3"/>
        <v>97313.804580354103</v>
      </c>
      <c r="D25">
        <f t="shared" si="0"/>
        <v>209.66451604133181</v>
      </c>
      <c r="E25">
        <f t="shared" si="1"/>
        <v>85.066415320318811</v>
      </c>
      <c r="F25">
        <f t="shared" si="2"/>
        <v>41062.084038144458</v>
      </c>
      <c r="G25">
        <f>+SUM(E25:$E$98)</f>
        <v>5900.526027078201</v>
      </c>
      <c r="H25">
        <f>+SUM(G25:$G$98)</f>
        <v>244791.66417748621</v>
      </c>
      <c r="I25">
        <f>+SUM(F25:$F$98)</f>
        <v>914200.50828772003</v>
      </c>
      <c r="J25">
        <f>+SUM(I25:$I$98)</f>
        <v>17404629.946866039</v>
      </c>
    </row>
    <row r="26" spans="1:10" x14ac:dyDescent="0.25">
      <c r="A26">
        <f>+Probs_Hombres!A25</f>
        <v>23</v>
      </c>
      <c r="B26">
        <f>+Probs_Hombres!B25</f>
        <v>2.2768916766316202E-3</v>
      </c>
      <c r="C26">
        <f t="shared" si="3"/>
        <v>97104.140064312771</v>
      </c>
      <c r="D26">
        <f t="shared" si="0"/>
        <v>221.09560827890527</v>
      </c>
      <c r="E26">
        <f t="shared" si="1"/>
        <v>86.25414467277696</v>
      </c>
      <c r="F26">
        <f t="shared" si="2"/>
        <v>39397.706698280126</v>
      </c>
      <c r="G26">
        <f>+SUM(E26:$E$98)</f>
        <v>5815.4596117578822</v>
      </c>
      <c r="H26">
        <f>+SUM(G26:$G$98)</f>
        <v>238891.13815040799</v>
      </c>
      <c r="I26">
        <f>+SUM(F26:$F$98)</f>
        <v>873138.42424957559</v>
      </c>
      <c r="J26">
        <f>+SUM(I26:$I$98)</f>
        <v>16490429.43857833</v>
      </c>
    </row>
    <row r="27" spans="1:10" x14ac:dyDescent="0.25">
      <c r="A27">
        <f>+Probs_Hombres!A26</f>
        <v>24</v>
      </c>
      <c r="B27">
        <f>+Probs_Hombres!B26</f>
        <v>2.3819678100505302E-3</v>
      </c>
      <c r="C27">
        <f t="shared" si="3"/>
        <v>96883.044456033866</v>
      </c>
      <c r="D27">
        <f t="shared" si="0"/>
        <v>230.7722932339675</v>
      </c>
      <c r="E27">
        <f t="shared" si="1"/>
        <v>86.566564686739824</v>
      </c>
      <c r="F27">
        <f t="shared" si="2"/>
        <v>37796.156142135034</v>
      </c>
      <c r="G27">
        <f>+SUM(E27:$E$98)</f>
        <v>5729.2054670851057</v>
      </c>
      <c r="H27">
        <f>+SUM(G27:$G$98)</f>
        <v>233075.67853865016</v>
      </c>
      <c r="I27">
        <f>+SUM(F27:$F$98)</f>
        <v>833740.71755129565</v>
      </c>
      <c r="J27">
        <f>+SUM(I27:$I$98)</f>
        <v>15617291.014328754</v>
      </c>
    </row>
    <row r="28" spans="1:10" x14ac:dyDescent="0.25">
      <c r="A28">
        <f>+Probs_Hombres!A27</f>
        <v>25</v>
      </c>
      <c r="B28">
        <f>+Probs_Hombres!B27</f>
        <v>2.4381876542886099E-3</v>
      </c>
      <c r="C28">
        <f t="shared" si="3"/>
        <v>96652.272162799898</v>
      </c>
      <c r="D28">
        <f t="shared" si="0"/>
        <v>235.65637674627942</v>
      </c>
      <c r="E28">
        <f t="shared" si="1"/>
        <v>84.998717765211111</v>
      </c>
      <c r="F28">
        <f t="shared" si="2"/>
        <v>36255.891264289254</v>
      </c>
      <c r="G28">
        <f>+SUM(E28:$E$98)</f>
        <v>5642.6389023983656</v>
      </c>
      <c r="H28">
        <f>+SUM(G28:$G$98)</f>
        <v>227346.47307156504</v>
      </c>
      <c r="I28">
        <f>+SUM(F28:$F$98)</f>
        <v>795944.56140916061</v>
      </c>
      <c r="J28">
        <f>+SUM(I28:$I$98)</f>
        <v>14783550.296777457</v>
      </c>
    </row>
    <row r="29" spans="1:10" x14ac:dyDescent="0.25">
      <c r="A29">
        <f>+Probs_Hombres!A28</f>
        <v>26</v>
      </c>
      <c r="B29">
        <f>+Probs_Hombres!B28</f>
        <v>2.4760514944230701E-3</v>
      </c>
      <c r="C29">
        <f t="shared" si="3"/>
        <v>96416.615786053619</v>
      </c>
      <c r="D29">
        <f t="shared" si="0"/>
        <v>238.7325056042755</v>
      </c>
      <c r="E29">
        <f t="shared" si="1"/>
        <v>82.796388772514959</v>
      </c>
      <c r="F29">
        <f t="shared" si="2"/>
        <v>34776.435190205215</v>
      </c>
      <c r="G29">
        <f>+SUM(E29:$E$98)</f>
        <v>5557.6401846331537</v>
      </c>
      <c r="H29">
        <f>+SUM(G29:$G$98)</f>
        <v>221703.83416916669</v>
      </c>
      <c r="I29">
        <f>+SUM(F29:$F$98)</f>
        <v>759688.67014487134</v>
      </c>
      <c r="J29">
        <f>+SUM(I29:$I$98)</f>
        <v>13987605.735368298</v>
      </c>
    </row>
    <row r="30" spans="1:10" x14ac:dyDescent="0.25">
      <c r="A30">
        <f>+Probs_Hombres!A29</f>
        <v>27</v>
      </c>
      <c r="B30">
        <f>+Probs_Hombres!B29</f>
        <v>2.5038495988768299E-3</v>
      </c>
      <c r="C30">
        <f t="shared" si="3"/>
        <v>96177.883280449343</v>
      </c>
      <c r="D30">
        <f t="shared" si="0"/>
        <v>240.81495447257475</v>
      </c>
      <c r="E30">
        <f t="shared" si="1"/>
        <v>80.306362063934813</v>
      </c>
      <c r="F30">
        <f t="shared" si="2"/>
        <v>33356.083601809427</v>
      </c>
      <c r="G30">
        <f>+SUM(E30:$E$98)</f>
        <v>5474.8437958606382</v>
      </c>
      <c r="H30">
        <f>+SUM(G30:$G$98)</f>
        <v>216146.19398453354</v>
      </c>
      <c r="I30">
        <f>+SUM(F30:$F$98)</f>
        <v>724912.23495466611</v>
      </c>
      <c r="J30">
        <f>+SUM(I30:$I$98)</f>
        <v>13227917.065223427</v>
      </c>
    </row>
    <row r="31" spans="1:10" x14ac:dyDescent="0.25">
      <c r="A31">
        <f>+Probs_Hombres!A30</f>
        <v>28</v>
      </c>
      <c r="B31">
        <f>+Probs_Hombres!B30</f>
        <v>2.54193411984307E-3</v>
      </c>
      <c r="C31">
        <f t="shared" si="3"/>
        <v>95937.068325976768</v>
      </c>
      <c r="D31">
        <f t="shared" si="0"/>
        <v>243.86570733551343</v>
      </c>
      <c r="E31">
        <f t="shared" si="1"/>
        <v>78.19588405208458</v>
      </c>
      <c r="F31">
        <f t="shared" si="2"/>
        <v>31992.850947368199</v>
      </c>
      <c r="G31">
        <f>+SUM(E31:$E$98)</f>
        <v>5394.5374337967032</v>
      </c>
      <c r="H31">
        <f>+SUM(G31:$G$98)</f>
        <v>210671.35018867289</v>
      </c>
      <c r="I31">
        <f>+SUM(F31:$F$98)</f>
        <v>691556.15135285677</v>
      </c>
      <c r="J31">
        <f>+SUM(I31:$I$98)</f>
        <v>12503004.830268761</v>
      </c>
    </row>
    <row r="32" spans="1:10" x14ac:dyDescent="0.25">
      <c r="A32">
        <f>+Probs_Hombres!A31</f>
        <v>29</v>
      </c>
      <c r="B32">
        <f>+Probs_Hombres!B31</f>
        <v>2.56974078781599E-3</v>
      </c>
      <c r="C32">
        <f t="shared" si="3"/>
        <v>95693.202618641255</v>
      </c>
      <c r="D32">
        <f t="shared" si="0"/>
        <v>245.9067258858704</v>
      </c>
      <c r="E32">
        <f t="shared" si="1"/>
        <v>75.817634170836413</v>
      </c>
      <c r="F32">
        <f t="shared" si="2"/>
        <v>30684.160796109642</v>
      </c>
      <c r="G32">
        <f>+SUM(E32:$E$98)</f>
        <v>5316.3415497446185</v>
      </c>
      <c r="H32">
        <f>+SUM(G32:$G$98)</f>
        <v>205276.81275487618</v>
      </c>
      <c r="I32">
        <f>+SUM(F32:$F$98)</f>
        <v>659563.30040548847</v>
      </c>
      <c r="J32">
        <f>+SUM(I32:$I$98)</f>
        <v>11811448.678915905</v>
      </c>
    </row>
    <row r="33" spans="1:10" x14ac:dyDescent="0.25">
      <c r="A33">
        <f>+Probs_Hombres!A32</f>
        <v>30</v>
      </c>
      <c r="B33">
        <f>+Probs_Hombres!B32</f>
        <v>2.57231557123181E-3</v>
      </c>
      <c r="C33">
        <f t="shared" si="3"/>
        <v>95447.295892755385</v>
      </c>
      <c r="D33">
        <f t="shared" si="0"/>
        <v>245.52056545689993</v>
      </c>
      <c r="E33">
        <f t="shared" si="1"/>
        <v>72.787090097838657</v>
      </c>
      <c r="F33">
        <f t="shared" si="2"/>
        <v>29428.183131319194</v>
      </c>
      <c r="G33">
        <f>+SUM(E33:$E$98)</f>
        <v>5240.5239155737827</v>
      </c>
      <c r="H33">
        <f>+SUM(G33:$G$98)</f>
        <v>199960.47120513156</v>
      </c>
      <c r="I33">
        <f>+SUM(F33:$F$98)</f>
        <v>628879.13960937876</v>
      </c>
      <c r="J33">
        <f>+SUM(I33:$I$98)</f>
        <v>11151885.378510417</v>
      </c>
    </row>
    <row r="34" spans="1:10" x14ac:dyDescent="0.25">
      <c r="A34">
        <f>+Probs_Hombres!A33</f>
        <v>31</v>
      </c>
      <c r="B34">
        <f>+Probs_Hombres!B33</f>
        <v>2.52716061566514E-3</v>
      </c>
      <c r="C34">
        <f t="shared" si="3"/>
        <v>95201.775327298485</v>
      </c>
      <c r="D34">
        <f t="shared" si="0"/>
        <v>240.59017714855145</v>
      </c>
      <c r="E34">
        <f t="shared" si="1"/>
        <v>68.582140297642809</v>
      </c>
      <c r="F34">
        <f t="shared" si="2"/>
        <v>28223.542843862931</v>
      </c>
      <c r="G34">
        <f>+SUM(E34:$E$98)</f>
        <v>5167.7368254759449</v>
      </c>
      <c r="H34">
        <f>+SUM(G34:$G$98)</f>
        <v>194719.94728955778</v>
      </c>
      <c r="I34">
        <f>+SUM(F34:$F$98)</f>
        <v>599450.95647805964</v>
      </c>
      <c r="J34">
        <f>+SUM(I34:$I$98)</f>
        <v>10523006.238901036</v>
      </c>
    </row>
    <row r="35" spans="1:10" x14ac:dyDescent="0.25">
      <c r="A35">
        <f>+Probs_Hombres!A34</f>
        <v>32</v>
      </c>
      <c r="B35">
        <f>+Probs_Hombres!B34</f>
        <v>2.4925874518566698E-3</v>
      </c>
      <c r="C35">
        <f t="shared" si="3"/>
        <v>94961.185150149933</v>
      </c>
      <c r="D35">
        <f t="shared" si="0"/>
        <v>236.69905851870135</v>
      </c>
      <c r="E35">
        <f t="shared" si="1"/>
        <v>64.877832727377282</v>
      </c>
      <c r="F35">
        <f t="shared" si="2"/>
        <v>27069.43982495517</v>
      </c>
      <c r="G35">
        <f>+SUM(E35:$E$98)</f>
        <v>5099.1546851783023</v>
      </c>
      <c r="H35">
        <f>+SUM(G35:$G$98)</f>
        <v>189552.21046408184</v>
      </c>
      <c r="I35">
        <f>+SUM(F35:$F$98)</f>
        <v>571227.41363419697</v>
      </c>
      <c r="J35">
        <f>+SUM(I35:$I$98)</f>
        <v>9923555.2824229766</v>
      </c>
    </row>
    <row r="36" spans="1:10" x14ac:dyDescent="0.25">
      <c r="A36">
        <f>+Probs_Hombres!A35</f>
        <v>33</v>
      </c>
      <c r="B36">
        <f>+Probs_Hombres!B35</f>
        <v>2.4825224062200802E-3</v>
      </c>
      <c r="C36">
        <f t="shared" si="3"/>
        <v>94724.486091631232</v>
      </c>
      <c r="D36">
        <f t="shared" si="0"/>
        <v>235.15565914016042</v>
      </c>
      <c r="E36">
        <f t="shared" si="1"/>
        <v>61.975765337397519</v>
      </c>
      <c r="F36">
        <f t="shared" si="2"/>
        <v>25963.429691267978</v>
      </c>
      <c r="G36">
        <f>+SUM(E36:$E$98)</f>
        <v>5034.2768524509247</v>
      </c>
      <c r="H36">
        <f>+SUM(G36:$G$98)</f>
        <v>184453.05577890357</v>
      </c>
      <c r="I36">
        <f>+SUM(F36:$F$98)</f>
        <v>544157.9738092419</v>
      </c>
      <c r="J36">
        <f>+SUM(I36:$I$98)</f>
        <v>9352327.8687887825</v>
      </c>
    </row>
    <row r="37" spans="1:10" x14ac:dyDescent="0.25">
      <c r="A37">
        <f>+Probs_Hombres!A36</f>
        <v>34</v>
      </c>
      <c r="B37">
        <f>+Probs_Hombres!B36</f>
        <v>2.4983870154642001E-3</v>
      </c>
      <c r="C37">
        <f t="shared" si="3"/>
        <v>94489.330432491071</v>
      </c>
      <c r="D37">
        <f t="shared" si="0"/>
        <v>236.07091625244357</v>
      </c>
      <c r="E37">
        <f t="shared" si="1"/>
        <v>59.824022367135647</v>
      </c>
      <c r="F37">
        <f t="shared" si="2"/>
        <v>24902.860476266425</v>
      </c>
      <c r="G37">
        <f>+SUM(E37:$E$98)</f>
        <v>4972.3010871135284</v>
      </c>
      <c r="H37">
        <f>+SUM(G37:$G$98)</f>
        <v>179418.77892645262</v>
      </c>
      <c r="I37">
        <f>+SUM(F37:$F$98)</f>
        <v>518194.54411797394</v>
      </c>
      <c r="J37">
        <f>+SUM(I37:$I$98)</f>
        <v>8808169.8949795384</v>
      </c>
    </row>
    <row r="38" spans="1:10" x14ac:dyDescent="0.25">
      <c r="A38">
        <f>+Probs_Hombres!A37</f>
        <v>35</v>
      </c>
      <c r="B38">
        <f>+Probs_Hombres!B37</f>
        <v>2.5005797432651401E-3</v>
      </c>
      <c r="C38">
        <f t="shared" si="3"/>
        <v>94253.259516238628</v>
      </c>
      <c r="D38">
        <f t="shared" si="0"/>
        <v>235.6877914830111</v>
      </c>
      <c r="E38">
        <f t="shared" si="1"/>
        <v>57.429742907060216</v>
      </c>
      <c r="F38">
        <f t="shared" si="2"/>
        <v>23885.234127889042</v>
      </c>
      <c r="G38">
        <f>+SUM(E38:$E$98)</f>
        <v>4912.4770647463929</v>
      </c>
      <c r="H38">
        <f>+SUM(G38:$G$98)</f>
        <v>174446.47783933909</v>
      </c>
      <c r="I38">
        <f>+SUM(F38:$F$98)</f>
        <v>493291.68364170758</v>
      </c>
      <c r="J38">
        <f>+SUM(I38:$I$98)</f>
        <v>8289975.3508615596</v>
      </c>
    </row>
    <row r="39" spans="1:10" x14ac:dyDescent="0.25">
      <c r="A39">
        <f>+Probs_Hombres!A38</f>
        <v>36</v>
      </c>
      <c r="B39">
        <f>+Probs_Hombres!B38</f>
        <v>2.5130778836655598E-3</v>
      </c>
      <c r="C39">
        <f t="shared" si="3"/>
        <v>94017.571724755617</v>
      </c>
      <c r="D39">
        <f t="shared" si="0"/>
        <v>236.27348017742042</v>
      </c>
      <c r="E39">
        <f t="shared" si="1"/>
        <v>55.358131656375747</v>
      </c>
      <c r="F39">
        <f t="shared" si="2"/>
        <v>22909.141533909322</v>
      </c>
      <c r="G39">
        <f>+SUM(E39:$E$98)</f>
        <v>4855.0473218393327</v>
      </c>
      <c r="H39">
        <f>+SUM(G39:$G$98)</f>
        <v>169534.00077459271</v>
      </c>
      <c r="I39">
        <f>+SUM(F39:$F$98)</f>
        <v>469406.44951381849</v>
      </c>
      <c r="J39">
        <f>+SUM(I39:$I$98)</f>
        <v>7796683.6672198521</v>
      </c>
    </row>
    <row r="40" spans="1:10" x14ac:dyDescent="0.25">
      <c r="A40">
        <f>+Probs_Hombres!A39</f>
        <v>37</v>
      </c>
      <c r="B40">
        <f>+Probs_Hombres!B39</f>
        <v>2.53611653985015E-3</v>
      </c>
      <c r="C40">
        <f t="shared" si="3"/>
        <v>93781.298244578196</v>
      </c>
      <c r="D40">
        <f t="shared" si="0"/>
        <v>237.84030160670227</v>
      </c>
      <c r="E40">
        <f t="shared" si="1"/>
        <v>53.581954787052538</v>
      </c>
      <c r="F40">
        <f t="shared" si="2"/>
        <v>21972.66257402566</v>
      </c>
      <c r="G40">
        <f>+SUM(E40:$E$98)</f>
        <v>4799.6891901829567</v>
      </c>
      <c r="H40">
        <f>+SUM(G40:$G$98)</f>
        <v>164678.95345275334</v>
      </c>
      <c r="I40">
        <f>+SUM(F40:$F$98)</f>
        <v>446497.30797990918</v>
      </c>
      <c r="J40">
        <f>+SUM(I40:$I$98)</f>
        <v>7327277.217706033</v>
      </c>
    </row>
    <row r="41" spans="1:10" x14ac:dyDescent="0.25">
      <c r="A41">
        <f>+Probs_Hombres!A40</f>
        <v>38</v>
      </c>
      <c r="B41">
        <f>+Probs_Hombres!B40</f>
        <v>2.57233866825293E-3</v>
      </c>
      <c r="C41">
        <f t="shared" si="3"/>
        <v>93543.457942971494</v>
      </c>
      <c r="D41">
        <f t="shared" si="0"/>
        <v>240.62545402879186</v>
      </c>
      <c r="E41">
        <f t="shared" si="1"/>
        <v>52.124431778893126</v>
      </c>
      <c r="F41">
        <f t="shared" si="2"/>
        <v>21073.978212545309</v>
      </c>
      <c r="G41">
        <f>+SUM(E41:$E$98)</f>
        <v>4746.1072353959044</v>
      </c>
      <c r="H41">
        <f>+SUM(G41:$G$98)</f>
        <v>159879.26426257042</v>
      </c>
      <c r="I41">
        <f>+SUM(F41:$F$98)</f>
        <v>424524.64540588355</v>
      </c>
      <c r="J41">
        <f>+SUM(I41:$I$98)</f>
        <v>6880779.9097261252</v>
      </c>
    </row>
    <row r="42" spans="1:10" x14ac:dyDescent="0.25">
      <c r="A42">
        <f>+Probs_Hombres!A41</f>
        <v>39</v>
      </c>
      <c r="B42">
        <f>+Probs_Hombres!B41</f>
        <v>2.6011268165119501E-3</v>
      </c>
      <c r="C42">
        <f t="shared" si="3"/>
        <v>93302.832488942702</v>
      </c>
      <c r="D42">
        <f t="shared" si="0"/>
        <v>242.69249964351184</v>
      </c>
      <c r="E42">
        <f t="shared" si="1"/>
        <v>50.550188897608123</v>
      </c>
      <c r="F42">
        <f t="shared" si="2"/>
        <v>20211.316157206984</v>
      </c>
      <c r="G42">
        <f>+SUM(E42:$E$98)</f>
        <v>4693.9828036170111</v>
      </c>
      <c r="H42">
        <f>+SUM(G42:$G$98)</f>
        <v>155133.15702717449</v>
      </c>
      <c r="I42">
        <f>+SUM(F42:$F$98)</f>
        <v>403450.66719333822</v>
      </c>
      <c r="J42">
        <f>+SUM(I42:$I$98)</f>
        <v>6456255.2643202413</v>
      </c>
    </row>
    <row r="43" spans="1:10" x14ac:dyDescent="0.25">
      <c r="A43">
        <f>+Probs_Hombres!A42</f>
        <v>40</v>
      </c>
      <c r="B43">
        <f>+Probs_Hombres!B42</f>
        <v>2.6757326007273499E-3</v>
      </c>
      <c r="C43">
        <f t="shared" si="3"/>
        <v>93060.13998929919</v>
      </c>
      <c r="D43">
        <f t="shared" si="0"/>
        <v>249.00405039761972</v>
      </c>
      <c r="E43">
        <f t="shared" si="1"/>
        <v>49.8700151678105</v>
      </c>
      <c r="F43">
        <f t="shared" si="2"/>
        <v>19383.407654570641</v>
      </c>
      <c r="G43">
        <f>+SUM(E43:$E$98)</f>
        <v>4643.4326147194033</v>
      </c>
      <c r="H43">
        <f>+SUM(G43:$G$98)</f>
        <v>150439.17422355746</v>
      </c>
      <c r="I43">
        <f>+SUM(F43:$F$98)</f>
        <v>383239.35103613132</v>
      </c>
      <c r="J43">
        <f>+SUM(I43:$I$98)</f>
        <v>6052804.597126903</v>
      </c>
    </row>
    <row r="44" spans="1:10" x14ac:dyDescent="0.25">
      <c r="A44">
        <f>+Probs_Hombres!A43</f>
        <v>41</v>
      </c>
      <c r="B44">
        <f>+Probs_Hombres!B43</f>
        <v>2.8123954423597401E-3</v>
      </c>
      <c r="C44">
        <f t="shared" si="3"/>
        <v>92811.135938901571</v>
      </c>
      <c r="D44">
        <f t="shared" si="0"/>
        <v>261.02161571479519</v>
      </c>
      <c r="E44">
        <f t="shared" si="1"/>
        <v>50.266219465247666</v>
      </c>
      <c r="F44">
        <f t="shared" si="2"/>
        <v>18588.021960380884</v>
      </c>
      <c r="G44">
        <f>+SUM(E44:$E$98)</f>
        <v>4593.5625995515929</v>
      </c>
      <c r="H44">
        <f>+SUM(G44:$G$98)</f>
        <v>145795.74160883809</v>
      </c>
      <c r="I44">
        <f>+SUM(F44:$F$98)</f>
        <v>363855.94338156068</v>
      </c>
      <c r="J44">
        <f>+SUM(I44:$I$98)</f>
        <v>5669565.2460907726</v>
      </c>
    </row>
    <row r="45" spans="1:10" x14ac:dyDescent="0.25">
      <c r="A45">
        <f>+Probs_Hombres!A44</f>
        <v>42</v>
      </c>
      <c r="B45">
        <f>+Probs_Hombres!B44</f>
        <v>2.9897714000759398E-3</v>
      </c>
      <c r="C45">
        <f t="shared" si="3"/>
        <v>92550.114323186775</v>
      </c>
      <c r="D45">
        <f t="shared" si="0"/>
        <v>276.7036848772259</v>
      </c>
      <c r="E45">
        <f t="shared" si="1"/>
        <v>51.236723886436693</v>
      </c>
      <c r="F45">
        <f t="shared" si="2"/>
        <v>17822.83181936252</v>
      </c>
      <c r="G45">
        <f>+SUM(E45:$E$98)</f>
        <v>4543.2963800863454</v>
      </c>
      <c r="H45">
        <f>+SUM(G45:$G$98)</f>
        <v>141202.17900928648</v>
      </c>
      <c r="I45">
        <f>+SUM(F45:$F$98)</f>
        <v>345267.92142117972</v>
      </c>
      <c r="J45">
        <f>+SUM(I45:$I$98)</f>
        <v>5305709.3027092116</v>
      </c>
    </row>
    <row r="46" spans="1:10" x14ac:dyDescent="0.25">
      <c r="A46">
        <f>+Probs_Hombres!A45</f>
        <v>43</v>
      </c>
      <c r="B46">
        <f>+Probs_Hombres!B45</f>
        <v>3.1237309166501498E-3</v>
      </c>
      <c r="C46">
        <f t="shared" si="3"/>
        <v>92273.41063830955</v>
      </c>
      <c r="D46">
        <f t="shared" si="0"/>
        <v>288.23730559564137</v>
      </c>
      <c r="E46">
        <f t="shared" si="1"/>
        <v>51.319599711896949</v>
      </c>
      <c r="F46">
        <f t="shared" si="2"/>
        <v>17086.10156396214</v>
      </c>
      <c r="G46">
        <f>+SUM(E46:$E$98)</f>
        <v>4492.0596561999091</v>
      </c>
      <c r="H46">
        <f>+SUM(G46:$G$98)</f>
        <v>136658.8826292002</v>
      </c>
      <c r="I46">
        <f>+SUM(F46:$F$98)</f>
        <v>327445.08960181719</v>
      </c>
      <c r="J46">
        <f>+SUM(I46:$I$98)</f>
        <v>4960441.3812880311</v>
      </c>
    </row>
    <row r="47" spans="1:10" x14ac:dyDescent="0.25">
      <c r="A47">
        <f>+Probs_Hombres!A46</f>
        <v>44</v>
      </c>
      <c r="B47">
        <f>+Probs_Hombres!B46</f>
        <v>3.2667333419505902E-3</v>
      </c>
      <c r="C47">
        <f t="shared" si="3"/>
        <v>91985.173332713908</v>
      </c>
      <c r="D47">
        <f t="shared" si="0"/>
        <v>300.49103269107582</v>
      </c>
      <c r="E47">
        <f t="shared" si="1"/>
        <v>51.443587571722375</v>
      </c>
      <c r="F47">
        <f t="shared" si="2"/>
        <v>16377.62421179016</v>
      </c>
      <c r="G47">
        <f>+SUM(E47:$E$98)</f>
        <v>4440.7400564880118</v>
      </c>
      <c r="H47">
        <f>+SUM(G47:$G$98)</f>
        <v>132166.82297300029</v>
      </c>
      <c r="I47">
        <f>+SUM(F47:$F$98)</f>
        <v>310358.98803785502</v>
      </c>
      <c r="J47">
        <f>+SUM(I47:$I$98)</f>
        <v>4632996.2916862126</v>
      </c>
    </row>
    <row r="48" spans="1:10" x14ac:dyDescent="0.25">
      <c r="A48">
        <f>+Probs_Hombres!A47</f>
        <v>45</v>
      </c>
      <c r="B48">
        <f>+Probs_Hombres!B47</f>
        <v>3.4546121890968902E-3</v>
      </c>
      <c r="C48">
        <f t="shared" si="3"/>
        <v>91684.682300022832</v>
      </c>
      <c r="D48">
        <f t="shared" si="0"/>
        <v>316.73502102713974</v>
      </c>
      <c r="E48">
        <f t="shared" si="1"/>
        <v>52.138973631690376</v>
      </c>
      <c r="F48">
        <f t="shared" si="2"/>
        <v>15696.272000688044</v>
      </c>
      <c r="G48">
        <f>+SUM(E48:$E$98)</f>
        <v>4389.29646891629</v>
      </c>
      <c r="H48">
        <f>+SUM(G48:$G$98)</f>
        <v>127726.08291651224</v>
      </c>
      <c r="I48">
        <f>+SUM(F48:$F$98)</f>
        <v>293981.36382606492</v>
      </c>
      <c r="J48">
        <f>+SUM(I48:$I$98)</f>
        <v>4322637.3036483573</v>
      </c>
    </row>
    <row r="49" spans="1:10" x14ac:dyDescent="0.25">
      <c r="A49">
        <f>+Probs_Hombres!A48</f>
        <v>46</v>
      </c>
      <c r="B49">
        <f>+Probs_Hombres!B48</f>
        <v>3.6481272417408801E-3</v>
      </c>
      <c r="C49">
        <f t="shared" si="3"/>
        <v>91367.947278995693</v>
      </c>
      <c r="D49">
        <f t="shared" si="0"/>
        <v>333.32189749044483</v>
      </c>
      <c r="E49">
        <f t="shared" si="1"/>
        <v>52.759041683634749</v>
      </c>
      <c r="F49">
        <f t="shared" si="2"/>
        <v>15040.430257799118</v>
      </c>
      <c r="G49">
        <f>+SUM(E49:$E$98)</f>
        <v>4337.1574952845995</v>
      </c>
      <c r="H49">
        <f>+SUM(G49:$G$98)</f>
        <v>123336.78644759595</v>
      </c>
      <c r="I49">
        <f>+SUM(F49:$F$98)</f>
        <v>278285.09182537679</v>
      </c>
      <c r="J49">
        <f>+SUM(I49:$I$98)</f>
        <v>4028655.9398222934</v>
      </c>
    </row>
    <row r="50" spans="1:10" x14ac:dyDescent="0.25">
      <c r="A50">
        <f>+Probs_Hombres!A49</f>
        <v>47</v>
      </c>
      <c r="B50">
        <f>+Probs_Hombres!B49</f>
        <v>3.80784661897325E-3</v>
      </c>
      <c r="C50">
        <f t="shared" si="3"/>
        <v>91034.625381505248</v>
      </c>
      <c r="D50">
        <f t="shared" si="0"/>
        <v>346.64589046846959</v>
      </c>
      <c r="E50">
        <f t="shared" si="1"/>
        <v>52.75768974947264</v>
      </c>
      <c r="F50">
        <f t="shared" si="2"/>
        <v>14409.193129277057</v>
      </c>
      <c r="G50">
        <f>+SUM(E50:$E$98)</f>
        <v>4284.3984536009648</v>
      </c>
      <c r="H50">
        <f>+SUM(G50:$G$98)</f>
        <v>118999.62895231135</v>
      </c>
      <c r="I50">
        <f>+SUM(F50:$F$98)</f>
        <v>263244.66156757768</v>
      </c>
      <c r="J50">
        <f>+SUM(I50:$I$98)</f>
        <v>3750370.8479969162</v>
      </c>
    </row>
    <row r="51" spans="1:10" x14ac:dyDescent="0.25">
      <c r="A51">
        <f>+Probs_Hombres!A50</f>
        <v>48</v>
      </c>
      <c r="B51">
        <f>+Probs_Hombres!B50</f>
        <v>4.0216105368142399E-3</v>
      </c>
      <c r="C51">
        <f t="shared" si="3"/>
        <v>90687.979491036778</v>
      </c>
      <c r="D51">
        <f t="shared" si="0"/>
        <v>364.71173388355237</v>
      </c>
      <c r="E51">
        <f t="shared" si="1"/>
        <v>53.372323594173942</v>
      </c>
      <c r="F51">
        <f t="shared" si="2"/>
        <v>13802.235703786157</v>
      </c>
      <c r="G51">
        <f>+SUM(E51:$E$98)</f>
        <v>4231.640763851492</v>
      </c>
      <c r="H51">
        <f>+SUM(G51:$G$98)</f>
        <v>114715.23049871037</v>
      </c>
      <c r="I51">
        <f>+SUM(F51:$F$98)</f>
        <v>248835.46843830068</v>
      </c>
      <c r="J51">
        <f>+SUM(I51:$I$98)</f>
        <v>3487126.186429339</v>
      </c>
    </row>
    <row r="52" spans="1:10" x14ac:dyDescent="0.25">
      <c r="A52">
        <f>+Probs_Hombres!A51</f>
        <v>49</v>
      </c>
      <c r="B52">
        <f>+Probs_Hombres!B51</f>
        <v>4.3335923905854102E-3</v>
      </c>
      <c r="C52">
        <f t="shared" si="3"/>
        <v>90323.267757153226</v>
      </c>
      <c r="D52">
        <f t="shared" si="0"/>
        <v>391.42422584519954</v>
      </c>
      <c r="E52">
        <f t="shared" si="1"/>
        <v>55.07832652346643</v>
      </c>
      <c r="F52">
        <f t="shared" si="2"/>
        <v>13218.008160815592</v>
      </c>
      <c r="G52">
        <f>+SUM(E52:$E$98)</f>
        <v>4178.2684402573177</v>
      </c>
      <c r="H52">
        <f>+SUM(G52:$G$98)</f>
        <v>110483.58973485888</v>
      </c>
      <c r="I52">
        <f>+SUM(F52:$F$98)</f>
        <v>235033.23273451452</v>
      </c>
      <c r="J52">
        <f>+SUM(I52:$I$98)</f>
        <v>3238290.7179910382</v>
      </c>
    </row>
    <row r="53" spans="1:10" x14ac:dyDescent="0.25">
      <c r="A53">
        <f>+Probs_Hombres!A52</f>
        <v>50</v>
      </c>
      <c r="B53">
        <f>+Probs_Hombres!B52</f>
        <v>4.6540570216304297E-3</v>
      </c>
      <c r="C53">
        <f t="shared" si="3"/>
        <v>89931.843531308026</v>
      </c>
      <c r="D53">
        <f t="shared" si="0"/>
        <v>418.54792785506288</v>
      </c>
      <c r="E53">
        <f t="shared" si="1"/>
        <v>56.629782279609358</v>
      </c>
      <c r="F53">
        <f t="shared" si="2"/>
        <v>12654.544905029985</v>
      </c>
      <c r="G53">
        <f>+SUM(E53:$E$98)</f>
        <v>4123.1901137338518</v>
      </c>
      <c r="H53">
        <f>+SUM(G53:$G$98)</f>
        <v>106305.32129460156</v>
      </c>
      <c r="I53">
        <f>+SUM(F53:$F$98)</f>
        <v>221815.22457369894</v>
      </c>
      <c r="J53">
        <f>+SUM(I53:$I$98)</f>
        <v>3003257.4852565238</v>
      </c>
    </row>
    <row r="54" spans="1:10" x14ac:dyDescent="0.25">
      <c r="A54">
        <f>+Probs_Hombres!A53</f>
        <v>51</v>
      </c>
      <c r="B54">
        <f>+Probs_Hombres!B53</f>
        <v>4.9535970573305202E-3</v>
      </c>
      <c r="C54">
        <f t="shared" si="3"/>
        <v>89513.295603452963</v>
      </c>
      <c r="D54">
        <f t="shared" si="0"/>
        <v>443.41279769322136</v>
      </c>
      <c r="E54">
        <f t="shared" si="1"/>
        <v>57.68655180810056</v>
      </c>
      <c r="F54">
        <f t="shared" si="2"/>
        <v>12111.201857172298</v>
      </c>
      <c r="G54">
        <f>+SUM(E54:$E$98)</f>
        <v>4066.5603314542423</v>
      </c>
      <c r="H54">
        <f>+SUM(G54:$G$98)</f>
        <v>102182.13118086773</v>
      </c>
      <c r="I54">
        <f>+SUM(F54:$F$98)</f>
        <v>209160.67966866895</v>
      </c>
      <c r="J54">
        <f>+SUM(I54:$I$98)</f>
        <v>2781442.2606828255</v>
      </c>
    </row>
    <row r="55" spans="1:10" x14ac:dyDescent="0.25">
      <c r="A55">
        <f>+Probs_Hombres!A54</f>
        <v>52</v>
      </c>
      <c r="B55">
        <f>+Probs_Hombres!B54</f>
        <v>5.3075939115216899E-3</v>
      </c>
      <c r="C55">
        <f t="shared" si="3"/>
        <v>89069.882805759742</v>
      </c>
      <c r="D55">
        <f t="shared" si="0"/>
        <v>472.7467676797969</v>
      </c>
      <c r="E55">
        <f t="shared" si="1"/>
        <v>59.137312662294597</v>
      </c>
      <c r="F55">
        <f t="shared" si="2"/>
        <v>11587.699849319106</v>
      </c>
      <c r="G55">
        <f>+SUM(E55:$E$98)</f>
        <v>4008.8737796461414</v>
      </c>
      <c r="H55">
        <f>+SUM(G55:$G$98)</f>
        <v>98115.570849413474</v>
      </c>
      <c r="I55">
        <f>+SUM(F55:$F$98)</f>
        <v>197049.47781149665</v>
      </c>
      <c r="J55">
        <f>+SUM(I55:$I$98)</f>
        <v>2572281.5810141563</v>
      </c>
    </row>
    <row r="56" spans="1:10" x14ac:dyDescent="0.25">
      <c r="A56">
        <f>+Probs_Hombres!A55</f>
        <v>53</v>
      </c>
      <c r="B56">
        <f>+Probs_Hombres!B55</f>
        <v>5.66333824634087E-3</v>
      </c>
      <c r="C56">
        <f t="shared" si="3"/>
        <v>88597.136038079945</v>
      </c>
      <c r="D56">
        <f t="shared" si="0"/>
        <v>501.75554904072487</v>
      </c>
      <c r="E56">
        <f t="shared" si="1"/>
        <v>60.352027140345598</v>
      </c>
      <c r="F56">
        <f t="shared" si="2"/>
        <v>11082.881773221463</v>
      </c>
      <c r="G56">
        <f>+SUM(E56:$E$98)</f>
        <v>3949.7364669838466</v>
      </c>
      <c r="H56">
        <f>+SUM(G56:$G$98)</f>
        <v>94106.697069767339</v>
      </c>
      <c r="I56">
        <f>+SUM(F56:$F$98)</f>
        <v>185461.77796217753</v>
      </c>
      <c r="J56">
        <f>+SUM(I56:$I$98)</f>
        <v>2375232.1032026606</v>
      </c>
    </row>
    <row r="57" spans="1:10" x14ac:dyDescent="0.25">
      <c r="A57">
        <f>+Probs_Hombres!A56</f>
        <v>54</v>
      </c>
      <c r="B57">
        <f>+Probs_Hombres!B56</f>
        <v>6.0784957719761104E-3</v>
      </c>
      <c r="C57">
        <f t="shared" si="3"/>
        <v>88095.38048903922</v>
      </c>
      <c r="D57">
        <f t="shared" si="0"/>
        <v>535.48739783324709</v>
      </c>
      <c r="E57">
        <f t="shared" si="1"/>
        <v>61.932069597228441</v>
      </c>
      <c r="F57">
        <f t="shared" si="2"/>
        <v>10596.265062495673</v>
      </c>
      <c r="G57">
        <f>+SUM(E57:$E$98)</f>
        <v>3889.3844398435008</v>
      </c>
      <c r="H57">
        <f>+SUM(G57:$G$98)</f>
        <v>90156.960602783496</v>
      </c>
      <c r="I57">
        <f>+SUM(F57:$F$98)</f>
        <v>174378.89618895607</v>
      </c>
      <c r="J57">
        <f>+SUM(I57:$I$98)</f>
        <v>2189770.3252404835</v>
      </c>
    </row>
    <row r="58" spans="1:10" x14ac:dyDescent="0.25">
      <c r="A58">
        <f>+Probs_Hombres!A57</f>
        <v>55</v>
      </c>
      <c r="B58">
        <f>+Probs_Hombres!B57</f>
        <v>6.4608062359222803E-3</v>
      </c>
      <c r="C58">
        <f t="shared" si="3"/>
        <v>87559.893091205973</v>
      </c>
      <c r="D58">
        <f t="shared" si="0"/>
        <v>565.70750330034934</v>
      </c>
      <c r="E58">
        <f t="shared" si="1"/>
        <v>62.910760953903015</v>
      </c>
      <c r="F58">
        <f t="shared" si="2"/>
        <v>10126.78433664861</v>
      </c>
      <c r="G58">
        <f>+SUM(E58:$E$98)</f>
        <v>3827.4523702462725</v>
      </c>
      <c r="H58">
        <f>+SUM(G58:$G$98)</f>
        <v>86267.576162940008</v>
      </c>
      <c r="I58">
        <f>+SUM(F58:$F$98)</f>
        <v>163782.63112646042</v>
      </c>
      <c r="J58">
        <f>+SUM(I58:$I$98)</f>
        <v>2015391.4290515275</v>
      </c>
    </row>
    <row r="59" spans="1:10" x14ac:dyDescent="0.25">
      <c r="A59">
        <f>+Probs_Hombres!A58</f>
        <v>56</v>
      </c>
      <c r="B59">
        <f>+Probs_Hombres!B58</f>
        <v>6.8547741210962503E-3</v>
      </c>
      <c r="C59">
        <f t="shared" si="3"/>
        <v>86994.185587905624</v>
      </c>
      <c r="D59">
        <f t="shared" si="0"/>
        <v>596.32549205381656</v>
      </c>
      <c r="E59">
        <f t="shared" si="1"/>
        <v>63.765098541430355</v>
      </c>
      <c r="F59">
        <f t="shared" si="2"/>
        <v>9674.3818704389905</v>
      </c>
      <c r="G59">
        <f>+SUM(E59:$E$98)</f>
        <v>3764.5416092923697</v>
      </c>
      <c r="H59">
        <f>+SUM(G59:$G$98)</f>
        <v>82440.123792693732</v>
      </c>
      <c r="I59">
        <f>+SUM(F59:$F$98)</f>
        <v>153655.84678981183</v>
      </c>
      <c r="J59">
        <f>+SUM(I59:$I$98)</f>
        <v>1851608.7979250674</v>
      </c>
    </row>
    <row r="60" spans="1:10" x14ac:dyDescent="0.25">
      <c r="A60">
        <f>+Probs_Hombres!A59</f>
        <v>57</v>
      </c>
      <c r="B60">
        <f>+Probs_Hombres!B59</f>
        <v>7.2901155774238004E-3</v>
      </c>
      <c r="C60">
        <f t="shared" si="3"/>
        <v>86397.860095851807</v>
      </c>
      <c r="D60">
        <f t="shared" si="0"/>
        <v>629.85038574085047</v>
      </c>
      <c r="E60">
        <f t="shared" si="1"/>
        <v>64.759534800234661</v>
      </c>
      <c r="F60">
        <f t="shared" si="2"/>
        <v>9238.5251614960616</v>
      </c>
      <c r="G60">
        <f>+SUM(E60:$E$98)</f>
        <v>3700.7765107509395</v>
      </c>
      <c r="H60">
        <f>+SUM(G60:$G$98)</f>
        <v>78675.582183401348</v>
      </c>
      <c r="I60">
        <f>+SUM(F60:$F$98)</f>
        <v>143981.46491937284</v>
      </c>
      <c r="J60">
        <f>+SUM(I60:$I$98)</f>
        <v>1697952.9511352556</v>
      </c>
    </row>
    <row r="61" spans="1:10" x14ac:dyDescent="0.25">
      <c r="A61">
        <f>+Probs_Hombres!A60</f>
        <v>58</v>
      </c>
      <c r="B61">
        <f>+Probs_Hombres!B60</f>
        <v>7.8970268968815999E-3</v>
      </c>
      <c r="C61">
        <f t="shared" si="3"/>
        <v>85768.009710110957</v>
      </c>
      <c r="D61">
        <f t="shared" si="0"/>
        <v>677.31227957275405</v>
      </c>
      <c r="E61">
        <f t="shared" si="1"/>
        <v>66.960999989071311</v>
      </c>
      <c r="F61">
        <f t="shared" si="2"/>
        <v>8818.4377358690526</v>
      </c>
      <c r="G61">
        <f>+SUM(E61:$E$98)</f>
        <v>3636.0169759507048</v>
      </c>
      <c r="H61">
        <f>+SUM(G61:$G$98)</f>
        <v>74974.805672650415</v>
      </c>
      <c r="I61">
        <f>+SUM(F61:$F$98)</f>
        <v>134742.93975787677</v>
      </c>
      <c r="J61">
        <f>+SUM(I61:$I$98)</f>
        <v>1553971.4862158827</v>
      </c>
    </row>
    <row r="62" spans="1:10" x14ac:dyDescent="0.25">
      <c r="A62">
        <f>+Probs_Hombres!A61</f>
        <v>59</v>
      </c>
      <c r="B62">
        <f>+Probs_Hombres!B61</f>
        <v>8.5271600619157596E-3</v>
      </c>
      <c r="C62">
        <f t="shared" si="3"/>
        <v>85090.697430538203</v>
      </c>
      <c r="D62">
        <f t="shared" si="0"/>
        <v>725.58199677024095</v>
      </c>
      <c r="E62">
        <f t="shared" si="1"/>
        <v>68.97411558652729</v>
      </c>
      <c r="F62">
        <f t="shared" si="2"/>
        <v>8412.3060537311721</v>
      </c>
      <c r="G62">
        <f>+SUM(E62:$E$98)</f>
        <v>3569.0559759616335</v>
      </c>
      <c r="H62">
        <f>+SUM(G62:$G$98)</f>
        <v>71338.788696699674</v>
      </c>
      <c r="I62">
        <f>+SUM(F62:$F$98)</f>
        <v>125924.50202200774</v>
      </c>
      <c r="J62">
        <f>+SUM(I62:$I$98)</f>
        <v>1419228.5464580061</v>
      </c>
    </row>
    <row r="63" spans="1:10" x14ac:dyDescent="0.25">
      <c r="A63">
        <f>+Probs_Hombres!A62</f>
        <v>60</v>
      </c>
      <c r="B63">
        <f>+Probs_Hombres!B62</f>
        <v>8.9978075846693303E-3</v>
      </c>
      <c r="C63">
        <f t="shared" si="3"/>
        <v>84365.115433767962</v>
      </c>
      <c r="D63">
        <f t="shared" si="0"/>
        <v>759.10107553146372</v>
      </c>
      <c r="E63">
        <f t="shared" si="1"/>
        <v>69.385050630211893</v>
      </c>
      <c r="F63">
        <f t="shared" si="2"/>
        <v>8019.7817053088293</v>
      </c>
      <c r="G63">
        <f>+SUM(E63:$E$98)</f>
        <v>3500.0818603751063</v>
      </c>
      <c r="H63">
        <f>+SUM(G63:$G$98)</f>
        <v>67769.732720738044</v>
      </c>
      <c r="I63">
        <f>+SUM(F63:$F$98)</f>
        <v>117512.19596827659</v>
      </c>
      <c r="J63">
        <f>+SUM(I63:$I$98)</f>
        <v>1293304.044435998</v>
      </c>
    </row>
    <row r="64" spans="1:10" x14ac:dyDescent="0.25">
      <c r="A64">
        <f>+Probs_Hombres!A63</f>
        <v>61</v>
      </c>
      <c r="B64">
        <f>+Probs_Hombres!B63</f>
        <v>9.4192682132583205E-3</v>
      </c>
      <c r="C64">
        <f t="shared" si="3"/>
        <v>83606.014358236498</v>
      </c>
      <c r="D64">
        <f t="shared" si="0"/>
        <v>787.50747348176083</v>
      </c>
      <c r="E64">
        <f t="shared" si="1"/>
        <v>69.212995780450242</v>
      </c>
      <c r="F64">
        <f t="shared" si="2"/>
        <v>7641.9435121667375</v>
      </c>
      <c r="G64">
        <f>+SUM(E64:$E$98)</f>
        <v>3430.6968097448948</v>
      </c>
      <c r="H64">
        <f>+SUM(G64:$G$98)</f>
        <v>64269.650860362948</v>
      </c>
      <c r="I64">
        <f>+SUM(F64:$F$98)</f>
        <v>109492.41426296774</v>
      </c>
      <c r="J64">
        <f>+SUM(I64:$I$98)</f>
        <v>1175791.8484677214</v>
      </c>
    </row>
    <row r="65" spans="1:10" x14ac:dyDescent="0.25">
      <c r="A65">
        <f>+Probs_Hombres!A64</f>
        <v>62</v>
      </c>
      <c r="B65">
        <f>+Probs_Hombres!B64</f>
        <v>1.0060551059013399E-2</v>
      </c>
      <c r="C65">
        <f t="shared" si="3"/>
        <v>82818.506884754737</v>
      </c>
      <c r="D65">
        <f t="shared" si="0"/>
        <v>833.1998171453306</v>
      </c>
      <c r="E65">
        <f t="shared" si="1"/>
        <v>70.412342068355713</v>
      </c>
      <c r="F65">
        <f t="shared" si="2"/>
        <v>7278.8096120721812</v>
      </c>
      <c r="G65">
        <f>+SUM(E65:$E$98)</f>
        <v>3361.4838139644444</v>
      </c>
      <c r="H65">
        <f>+SUM(G65:$G$98)</f>
        <v>60838.954050618064</v>
      </c>
      <c r="I65">
        <f>+SUM(F65:$F$98)</f>
        <v>101850.470750801</v>
      </c>
      <c r="J65">
        <f>+SUM(I65:$I$98)</f>
        <v>1066299.4342047537</v>
      </c>
    </row>
    <row r="66" spans="1:10" x14ac:dyDescent="0.25">
      <c r="A66">
        <f>+Probs_Hombres!A65</f>
        <v>63</v>
      </c>
      <c r="B66">
        <f>+Probs_Hombres!B65</f>
        <v>1.0780974684175401E-2</v>
      </c>
      <c r="C66">
        <f t="shared" si="3"/>
        <v>81985.307067609407</v>
      </c>
      <c r="D66">
        <f t="shared" si="0"/>
        <v>883.8815199702367</v>
      </c>
      <c r="E66">
        <f t="shared" si="1"/>
        <v>71.822470353455998</v>
      </c>
      <c r="F66">
        <f t="shared" si="2"/>
        <v>6928.4430541548954</v>
      </c>
      <c r="G66">
        <f>+SUM(E66:$E$98)</f>
        <v>3291.0714718960885</v>
      </c>
      <c r="H66">
        <f>+SUM(G66:$G$98)</f>
        <v>57477.470236653608</v>
      </c>
      <c r="I66">
        <f>+SUM(F66:$F$98)</f>
        <v>94571.661138728814</v>
      </c>
      <c r="J66">
        <f>+SUM(I66:$I$98)</f>
        <v>964448.96345395222</v>
      </c>
    </row>
    <row r="67" spans="1:10" x14ac:dyDescent="0.25">
      <c r="A67">
        <f>+Probs_Hombres!A66</f>
        <v>64</v>
      </c>
      <c r="B67">
        <f>+Probs_Hombres!B66</f>
        <v>1.1389281623637299E-2</v>
      </c>
      <c r="C67">
        <f t="shared" si="3"/>
        <v>81101.42554763917</v>
      </c>
      <c r="D67">
        <f t="shared" si="0"/>
        <v>923.68697564050672</v>
      </c>
      <c r="E67">
        <f t="shared" si="1"/>
        <v>72.170176184977635</v>
      </c>
      <c r="F67">
        <f t="shared" si="2"/>
        <v>6590.1420047954816</v>
      </c>
      <c r="G67">
        <f>+SUM(E67:$E$98)</f>
        <v>3219.2490015426324</v>
      </c>
      <c r="H67">
        <f>+SUM(G67:$G$98)</f>
        <v>54186.398764757527</v>
      </c>
      <c r="I67">
        <f>+SUM(F67:$F$98)</f>
        <v>87643.21808457392</v>
      </c>
      <c r="J67">
        <f>+SUM(I67:$I$98)</f>
        <v>869877.3023152235</v>
      </c>
    </row>
    <row r="68" spans="1:10" x14ac:dyDescent="0.25">
      <c r="A68">
        <f>+Probs_Hombres!A67</f>
        <v>65</v>
      </c>
      <c r="B68">
        <f>+Probs_Hombres!B67</f>
        <v>1.19738476263332E-2</v>
      </c>
      <c r="C68">
        <f t="shared" si="3"/>
        <v>80177.738571998663</v>
      </c>
      <c r="D68">
        <f t="shared" ref="D68:D98" si="4">+C68-C69</f>
        <v>960.03602468509052</v>
      </c>
      <c r="E68">
        <f t="shared" ref="E68:E98" si="5">+D68*(1/(1+0.04))^(A68+1)</f>
        <v>72.125217567309903</v>
      </c>
      <c r="F68">
        <f t="shared" ref="F68:F98" si="6">+($E$1^A68)*C68</f>
        <v>6264.5048284260629</v>
      </c>
      <c r="G68">
        <f>+SUM(E68:$E$98)</f>
        <v>3147.0788253576548</v>
      </c>
      <c r="H68">
        <f>+SUM(G68:$G$98)</f>
        <v>50967.149763214897</v>
      </c>
      <c r="I68">
        <f>+SUM(F68:$F$98)</f>
        <v>81053.076079778431</v>
      </c>
      <c r="J68">
        <f>+SUM(I68:$I$98)</f>
        <v>782234.08423064952</v>
      </c>
    </row>
    <row r="69" spans="1:10" x14ac:dyDescent="0.25">
      <c r="A69">
        <f>+Probs_Hombres!A68</f>
        <v>66</v>
      </c>
      <c r="B69">
        <f>+Probs_Hombres!B68</f>
        <v>1.31454848931286E-2</v>
      </c>
      <c r="C69">
        <f t="shared" ref="C69:C98" si="7">C68*(1-B68)</f>
        <v>79217.702547313573</v>
      </c>
      <c r="D69">
        <f t="shared" si="4"/>
        <v>1041.3551121040655</v>
      </c>
      <c r="E69">
        <f t="shared" si="5"/>
        <v>75.225506461486205</v>
      </c>
      <c r="F69">
        <f t="shared" si="6"/>
        <v>5951.4371174577491</v>
      </c>
      <c r="G69">
        <f>+SUM(E69:$E$98)</f>
        <v>3074.9536077903444</v>
      </c>
      <c r="H69">
        <f>+SUM(G69:$G$98)</f>
        <v>47820.070937857236</v>
      </c>
      <c r="I69">
        <f>+SUM(F69:$F$98)</f>
        <v>74788.571251352347</v>
      </c>
      <c r="J69">
        <f>+SUM(I69:$I$98)</f>
        <v>701181.00815087114</v>
      </c>
    </row>
    <row r="70" spans="1:10" x14ac:dyDescent="0.25">
      <c r="A70">
        <f>+Probs_Hombres!A69</f>
        <v>67</v>
      </c>
      <c r="B70">
        <f>+Probs_Hombres!B69</f>
        <v>1.47408662198447E-2</v>
      </c>
      <c r="C70">
        <f t="shared" si="7"/>
        <v>78176.347435209507</v>
      </c>
      <c r="D70">
        <f t="shared" si="4"/>
        <v>1152.3870790985238</v>
      </c>
      <c r="E70">
        <f t="shared" si="5"/>
        <v>80.04446530335737</v>
      </c>
      <c r="F70">
        <f t="shared" si="6"/>
        <v>5647.3101834017343</v>
      </c>
      <c r="G70">
        <f>+SUM(E70:$E$98)</f>
        <v>2999.7281013288584</v>
      </c>
      <c r="H70">
        <f>+SUM(G70:$G$98)</f>
        <v>44745.117330066903</v>
      </c>
      <c r="I70">
        <f>+SUM(F70:$F$98)</f>
        <v>68837.134133894608</v>
      </c>
      <c r="J70">
        <f>+SUM(I70:$I$98)</f>
        <v>626392.43689951883</v>
      </c>
    </row>
    <row r="71" spans="1:10" x14ac:dyDescent="0.25">
      <c r="A71">
        <f>+Probs_Hombres!A70</f>
        <v>68</v>
      </c>
      <c r="B71">
        <f>+Probs_Hombres!B70</f>
        <v>1.63330852064601E-2</v>
      </c>
      <c r="C71">
        <f t="shared" si="7"/>
        <v>77023.960356110983</v>
      </c>
      <c r="D71">
        <f t="shared" si="4"/>
        <v>1258.0389074353734</v>
      </c>
      <c r="E71">
        <f t="shared" si="5"/>
        <v>84.022125016476878</v>
      </c>
      <c r="F71">
        <f t="shared" si="6"/>
        <v>5350.0614802752316</v>
      </c>
      <c r="G71">
        <f>+SUM(E71:$E$98)</f>
        <v>2919.6836360255006</v>
      </c>
      <c r="H71">
        <f>+SUM(G71:$G$98)</f>
        <v>41745.389228738044</v>
      </c>
      <c r="I71">
        <f>+SUM(F71:$F$98)</f>
        <v>63189.823950492857</v>
      </c>
      <c r="J71">
        <f>+SUM(I71:$I$98)</f>
        <v>557555.30276562402</v>
      </c>
    </row>
    <row r="72" spans="1:10" x14ac:dyDescent="0.25">
      <c r="A72">
        <f>+Probs_Hombres!A71</f>
        <v>69</v>
      </c>
      <c r="B72">
        <f>+Probs_Hombres!B71</f>
        <v>1.7689252582643901E-2</v>
      </c>
      <c r="C72">
        <f t="shared" si="7"/>
        <v>75765.92144867561</v>
      </c>
      <c r="D72">
        <f t="shared" si="4"/>
        <v>1340.2425216623815</v>
      </c>
      <c r="E72">
        <f t="shared" si="5"/>
        <v>86.069571673111653</v>
      </c>
      <c r="F72">
        <f t="shared" si="6"/>
        <v>5060.2677598635537</v>
      </c>
      <c r="G72">
        <f>+SUM(E72:$E$98)</f>
        <v>2835.6615110090238</v>
      </c>
      <c r="H72">
        <f>+SUM(G72:$G$98)</f>
        <v>38825.705592712548</v>
      </c>
      <c r="I72">
        <f>+SUM(F72:$F$98)</f>
        <v>57839.762470217633</v>
      </c>
      <c r="J72">
        <f>+SUM(I72:$I$98)</f>
        <v>494365.47881513106</v>
      </c>
    </row>
    <row r="73" spans="1:10" x14ac:dyDescent="0.25">
      <c r="A73">
        <f>+Probs_Hombres!A72</f>
        <v>70</v>
      </c>
      <c r="B73">
        <f>+Probs_Hombres!B72</f>
        <v>1.94228554032767E-2</v>
      </c>
      <c r="C73">
        <f t="shared" si="7"/>
        <v>74425.678927013229</v>
      </c>
      <c r="D73">
        <f t="shared" si="4"/>
        <v>1445.5592000900797</v>
      </c>
      <c r="E73">
        <f t="shared" si="5"/>
        <v>89.262447746537532</v>
      </c>
      <c r="F73">
        <f t="shared" si="6"/>
        <v>4779.5725051187655</v>
      </c>
      <c r="G73">
        <f>+SUM(E73:$E$98)</f>
        <v>2749.5919393359122</v>
      </c>
      <c r="H73">
        <f>+SUM(G73:$G$98)</f>
        <v>35990.04408170352</v>
      </c>
      <c r="I73">
        <f>+SUM(F73:$F$98)</f>
        <v>52779.494710354084</v>
      </c>
      <c r="J73">
        <f>+SUM(I73:$I$98)</f>
        <v>436525.71634491347</v>
      </c>
    </row>
    <row r="74" spans="1:10" x14ac:dyDescent="0.25">
      <c r="A74">
        <f>+Probs_Hombres!A73</f>
        <v>71</v>
      </c>
      <c r="B74">
        <f>+Probs_Hombres!B73</f>
        <v>2.1879642803579499E-2</v>
      </c>
      <c r="C74">
        <f t="shared" si="7"/>
        <v>72980.119726923149</v>
      </c>
      <c r="D74">
        <f t="shared" si="4"/>
        <v>1596.7789513875468</v>
      </c>
      <c r="E74">
        <f t="shared" si="5"/>
        <v>94.807865638352695</v>
      </c>
      <c r="F74">
        <f t="shared" si="6"/>
        <v>4506.4803456368909</v>
      </c>
      <c r="G74">
        <f>+SUM(E74:$E$98)</f>
        <v>2660.3294915893744</v>
      </c>
      <c r="H74">
        <f>+SUM(G74:$G$98)</f>
        <v>33240.452142367598</v>
      </c>
      <c r="I74">
        <f>+SUM(F74:$F$98)</f>
        <v>47999.922205235307</v>
      </c>
      <c r="J74">
        <f>+SUM(I74:$I$98)</f>
        <v>383746.22163455939</v>
      </c>
    </row>
    <row r="75" spans="1:10" x14ac:dyDescent="0.25">
      <c r="A75">
        <f>+Probs_Hombres!A74</f>
        <v>72</v>
      </c>
      <c r="B75">
        <f>+Probs_Hombres!B74</f>
        <v>2.4956890287099201E-2</v>
      </c>
      <c r="C75">
        <f t="shared" si="7"/>
        <v>71383.340775535602</v>
      </c>
      <c r="D75">
        <f t="shared" si="4"/>
        <v>1781.5062040616613</v>
      </c>
      <c r="E75">
        <f t="shared" si="5"/>
        <v>101.70763839302423</v>
      </c>
      <c r="F75">
        <f t="shared" si="6"/>
        <v>4238.3463128586573</v>
      </c>
      <c r="G75">
        <f>+SUM(E75:$E$98)</f>
        <v>2565.5216259510212</v>
      </c>
      <c r="H75">
        <f>+SUM(G75:$G$98)</f>
        <v>30580.122650778223</v>
      </c>
      <c r="I75">
        <f>+SUM(F75:$F$98)</f>
        <v>43493.441859598424</v>
      </c>
      <c r="J75">
        <f>+SUM(I75:$I$98)</f>
        <v>335746.29942932411</v>
      </c>
    </row>
    <row r="76" spans="1:10" x14ac:dyDescent="0.25">
      <c r="A76">
        <f>+Probs_Hombres!A75</f>
        <v>73</v>
      </c>
      <c r="B76">
        <f>+Probs_Hombres!B75</f>
        <v>2.7714635676107699E-2</v>
      </c>
      <c r="C76">
        <f t="shared" si="7"/>
        <v>69601.834571473941</v>
      </c>
      <c r="D76">
        <f t="shared" si="4"/>
        <v>1928.9894875371101</v>
      </c>
      <c r="E76">
        <f t="shared" si="5"/>
        <v>105.89190290381843</v>
      </c>
      <c r="F76">
        <f t="shared" si="6"/>
        <v>3973.6253547402998</v>
      </c>
      <c r="G76">
        <f>+SUM(E76:$E$98)</f>
        <v>2463.8139875579977</v>
      </c>
      <c r="H76">
        <f>+SUM(G76:$G$98)</f>
        <v>28014.601024827203</v>
      </c>
      <c r="I76">
        <f>+SUM(F76:$F$98)</f>
        <v>39255.095546739765</v>
      </c>
      <c r="J76">
        <f>+SUM(I76:$I$98)</f>
        <v>292252.85756972566</v>
      </c>
    </row>
    <row r="77" spans="1:10" x14ac:dyDescent="0.25">
      <c r="A77">
        <f>+Probs_Hombres!A76</f>
        <v>74</v>
      </c>
      <c r="B77">
        <f>+Probs_Hombres!B76</f>
        <v>3.0051722100052601E-2</v>
      </c>
      <c r="C77">
        <f t="shared" si="7"/>
        <v>67672.845083936831</v>
      </c>
      <c r="D77">
        <f t="shared" si="4"/>
        <v>2033.685534182383</v>
      </c>
      <c r="E77">
        <f t="shared" si="5"/>
        <v>107.34537859663351</v>
      </c>
      <c r="F77">
        <f t="shared" si="6"/>
        <v>3714.9017074233925</v>
      </c>
      <c r="G77">
        <f>+SUM(E77:$E$98)</f>
        <v>2357.9220846541789</v>
      </c>
      <c r="H77">
        <f>+SUM(G77:$G$98)</f>
        <v>25550.787037269205</v>
      </c>
      <c r="I77">
        <f>+SUM(F77:$F$98)</f>
        <v>35281.470191999455</v>
      </c>
      <c r="J77">
        <f>+SUM(I77:$I$98)</f>
        <v>252997.76202298605</v>
      </c>
    </row>
    <row r="78" spans="1:10" x14ac:dyDescent="0.25">
      <c r="A78">
        <f>+Probs_Hombres!A77</f>
        <v>75</v>
      </c>
      <c r="B78">
        <f>+Probs_Hombres!B77</f>
        <v>3.2738360028679803E-2</v>
      </c>
      <c r="C78">
        <f t="shared" si="7"/>
        <v>65639.159549754448</v>
      </c>
      <c r="D78">
        <f t="shared" si="4"/>
        <v>2148.918437319815</v>
      </c>
      <c r="E78">
        <f t="shared" si="5"/>
        <v>109.06518625258526</v>
      </c>
      <c r="F78">
        <f t="shared" si="6"/>
        <v>3464.6754939258594</v>
      </c>
      <c r="G78">
        <f>+SUM(E78:$E$98)</f>
        <v>2250.5767060575458</v>
      </c>
      <c r="H78">
        <f>+SUM(G78:$G$98)</f>
        <v>23192.864952615026</v>
      </c>
      <c r="I78">
        <f>+SUM(F78:$F$98)</f>
        <v>31566.568484576073</v>
      </c>
      <c r="J78">
        <f>+SUM(I78:$I$98)</f>
        <v>217716.29183098659</v>
      </c>
    </row>
    <row r="79" spans="1:10" x14ac:dyDescent="0.25">
      <c r="A79">
        <f>+Probs_Hombres!A78</f>
        <v>76</v>
      </c>
      <c r="B79">
        <f>+Probs_Hombres!B78</f>
        <v>3.6738432714536799E-2</v>
      </c>
      <c r="C79">
        <f t="shared" si="7"/>
        <v>63490.241112434633</v>
      </c>
      <c r="D79">
        <f t="shared" si="4"/>
        <v>2332.5319511388952</v>
      </c>
      <c r="E79">
        <f t="shared" si="5"/>
        <v>113.83098016308706</v>
      </c>
      <c r="F79">
        <f t="shared" si="6"/>
        <v>3222.3535579068944</v>
      </c>
      <c r="G79">
        <f>+SUM(E79:$E$98)</f>
        <v>2141.5115198049602</v>
      </c>
      <c r="H79">
        <f>+SUM(G79:$G$98)</f>
        <v>20942.28824655748</v>
      </c>
      <c r="I79">
        <f>+SUM(F79:$F$98)</f>
        <v>28101.892990650213</v>
      </c>
      <c r="J79">
        <f>+SUM(I79:$I$98)</f>
        <v>186149.72334641052</v>
      </c>
    </row>
    <row r="80" spans="1:10" x14ac:dyDescent="0.25">
      <c r="A80">
        <f>+Probs_Hombres!A79</f>
        <v>77</v>
      </c>
      <c r="B80">
        <f>+Probs_Hombres!B79</f>
        <v>4.1702433934986301E-2</v>
      </c>
      <c r="C80">
        <f t="shared" si="7"/>
        <v>61157.709161295737</v>
      </c>
      <c r="D80">
        <f t="shared" si="4"/>
        <v>2550.4253259140387</v>
      </c>
      <c r="E80">
        <f t="shared" si="5"/>
        <v>119.67740040363721</v>
      </c>
      <c r="F80">
        <f t="shared" si="6"/>
        <v>2984.585902439695</v>
      </c>
      <c r="G80">
        <f>+SUM(E80:$E$98)</f>
        <v>2027.6805396418736</v>
      </c>
      <c r="H80">
        <f>+SUM(G80:$G$98)</f>
        <v>18800.776726752523</v>
      </c>
      <c r="I80">
        <f>+SUM(F80:$F$98)</f>
        <v>24879.539432743313</v>
      </c>
      <c r="J80">
        <f>+SUM(I80:$I$98)</f>
        <v>158047.83035576029</v>
      </c>
    </row>
    <row r="81" spans="1:10" x14ac:dyDescent="0.25">
      <c r="A81">
        <f>+Probs_Hombres!A80</f>
        <v>78</v>
      </c>
      <c r="B81">
        <f>+Probs_Hombres!B80</f>
        <v>4.6424869490506601E-2</v>
      </c>
      <c r="C81">
        <f t="shared" si="7"/>
        <v>58607.283835381699</v>
      </c>
      <c r="D81">
        <f t="shared" si="4"/>
        <v>2720.8355032506734</v>
      </c>
      <c r="E81">
        <f t="shared" si="5"/>
        <v>122.76327940225474</v>
      </c>
      <c r="F81">
        <f t="shared" si="6"/>
        <v>2750.116736557608</v>
      </c>
      <c r="G81">
        <f>+SUM(E81:$E$98)</f>
        <v>1908.0031392382361</v>
      </c>
      <c r="H81">
        <f>+SUM(G81:$G$98)</f>
        <v>16773.096187110652</v>
      </c>
      <c r="I81">
        <f>+SUM(F81:$F$98)</f>
        <v>21894.953530303614</v>
      </c>
      <c r="J81">
        <f>+SUM(I81:$I$98)</f>
        <v>133168.29092301696</v>
      </c>
    </row>
    <row r="82" spans="1:10" x14ac:dyDescent="0.25">
      <c r="A82">
        <f>+Probs_Hombres!A81</f>
        <v>79</v>
      </c>
      <c r="B82">
        <f>+Probs_Hombres!B81</f>
        <v>4.96338920556861E-2</v>
      </c>
      <c r="C82">
        <f t="shared" si="7"/>
        <v>55886.448332131025</v>
      </c>
      <c r="D82">
        <f t="shared" si="4"/>
        <v>2773.8619438926689</v>
      </c>
      <c r="E82">
        <f t="shared" si="5"/>
        <v>120.34213120400545</v>
      </c>
      <c r="F82">
        <f t="shared" si="6"/>
        <v>2521.5797365185226</v>
      </c>
      <c r="G82">
        <f>+SUM(E82:$E$98)</f>
        <v>1785.2398598359814</v>
      </c>
      <c r="H82">
        <f>+SUM(G82:$G$98)</f>
        <v>14865.093047872411</v>
      </c>
      <c r="I82">
        <f>+SUM(F82:$F$98)</f>
        <v>19144.83679374601</v>
      </c>
      <c r="J82">
        <f>+SUM(I82:$I$98)</f>
        <v>111273.33739271334</v>
      </c>
    </row>
    <row r="83" spans="1:10" x14ac:dyDescent="0.25">
      <c r="A83">
        <f>+Probs_Hombres!A82</f>
        <v>80</v>
      </c>
      <c r="B83">
        <f>+Probs_Hombres!B82</f>
        <v>5.3454215282295603E-2</v>
      </c>
      <c r="C83">
        <f t="shared" si="7"/>
        <v>53112.586388238356</v>
      </c>
      <c r="D83">
        <f t="shared" si="4"/>
        <v>2839.0916269964218</v>
      </c>
      <c r="E83">
        <f t="shared" si="5"/>
        <v>118.43468947010909</v>
      </c>
      <c r="F83">
        <f t="shared" si="6"/>
        <v>2304.2537692945734</v>
      </c>
      <c r="G83">
        <f>+SUM(E83:$E$98)</f>
        <v>1664.897728631976</v>
      </c>
      <c r="H83">
        <f>+SUM(G83:$G$98)</f>
        <v>13079.853188036428</v>
      </c>
      <c r="I83">
        <f>+SUM(F83:$F$98)</f>
        <v>16623.257057227485</v>
      </c>
      <c r="J83">
        <f>+SUM(I83:$I$98)</f>
        <v>92128.500598967323</v>
      </c>
    </row>
    <row r="84" spans="1:10" x14ac:dyDescent="0.25">
      <c r="A84">
        <f>+Probs_Hombres!A83</f>
        <v>81</v>
      </c>
      <c r="B84">
        <f>+Probs_Hombres!B83</f>
        <v>5.9473456155524997E-2</v>
      </c>
      <c r="C84">
        <f t="shared" si="7"/>
        <v>50273.494761241935</v>
      </c>
      <c r="D84">
        <f t="shared" si="4"/>
        <v>2989.9384864677413</v>
      </c>
      <c r="E84">
        <f t="shared" si="5"/>
        <v>119.93016493656677</v>
      </c>
      <c r="F84">
        <f t="shared" si="6"/>
        <v>2097.1939348515957</v>
      </c>
      <c r="G84">
        <f>+SUM(E84:$E$98)</f>
        <v>1546.4630391618666</v>
      </c>
      <c r="H84">
        <f>+SUM(G84:$G$98)</f>
        <v>11414.955459404455</v>
      </c>
      <c r="I84">
        <f>+SUM(F84:$F$98)</f>
        <v>14319.003287932914</v>
      </c>
      <c r="J84">
        <f>+SUM(I84:$I$98)</f>
        <v>75505.243541739837</v>
      </c>
    </row>
    <row r="85" spans="1:10" x14ac:dyDescent="0.25">
      <c r="A85">
        <f>+Probs_Hombres!A84</f>
        <v>82</v>
      </c>
      <c r="B85">
        <f>+Probs_Hombres!B84</f>
        <v>6.7653262595787897E-2</v>
      </c>
      <c r="C85">
        <f t="shared" si="7"/>
        <v>47283.556274774193</v>
      </c>
      <c r="D85">
        <f t="shared" si="4"/>
        <v>3198.8868491200119</v>
      </c>
      <c r="E85">
        <f t="shared" si="5"/>
        <v>123.37629287124125</v>
      </c>
      <c r="F85">
        <f t="shared" si="6"/>
        <v>1896.6024647284285</v>
      </c>
      <c r="G85">
        <f>+SUM(E85:$E$98)</f>
        <v>1426.5328742253</v>
      </c>
      <c r="H85">
        <f>+SUM(G85:$G$98)</f>
        <v>9868.4924202425864</v>
      </c>
      <c r="I85">
        <f>+SUM(F85:$F$98)</f>
        <v>12221.809353081318</v>
      </c>
      <c r="J85">
        <f>+SUM(I85:$I$98)</f>
        <v>61186.240253806929</v>
      </c>
    </row>
    <row r="86" spans="1:10" x14ac:dyDescent="0.25">
      <c r="A86">
        <f>+Probs_Hombres!A85</f>
        <v>83</v>
      </c>
      <c r="B86">
        <f>+Probs_Hombres!B85</f>
        <v>7.6812527023753893E-2</v>
      </c>
      <c r="C86">
        <f t="shared" si="7"/>
        <v>44084.669425654181</v>
      </c>
      <c r="D86">
        <f t="shared" si="4"/>
        <v>3386.2548615913183</v>
      </c>
      <c r="E86">
        <f t="shared" si="5"/>
        <v>125.57961302865876</v>
      </c>
      <c r="F86">
        <f t="shared" si="6"/>
        <v>1700.2799232137863</v>
      </c>
      <c r="G86">
        <f>+SUM(E86:$E$98)</f>
        <v>1303.1565813540587</v>
      </c>
      <c r="H86">
        <f>+SUM(G86:$G$98)</f>
        <v>8441.9595460172877</v>
      </c>
      <c r="I86">
        <f>+SUM(F86:$F$98)</f>
        <v>10325.206888352894</v>
      </c>
      <c r="J86">
        <f>+SUM(I86:$I$98)</f>
        <v>48964.430900725609</v>
      </c>
    </row>
    <row r="87" spans="1:10" x14ac:dyDescent="0.25">
      <c r="A87">
        <f>+Probs_Hombres!A86</f>
        <v>84</v>
      </c>
      <c r="B87">
        <f>+Probs_Hombres!B86</f>
        <v>8.56991148404605E-2</v>
      </c>
      <c r="C87">
        <f t="shared" si="7"/>
        <v>40698.414564062863</v>
      </c>
      <c r="D87">
        <f t="shared" si="4"/>
        <v>3487.818103550293</v>
      </c>
      <c r="E87">
        <f t="shared" si="5"/>
        <v>124.37124653727942</v>
      </c>
      <c r="F87">
        <f t="shared" si="6"/>
        <v>1509.3049285230586</v>
      </c>
      <c r="G87">
        <f>+SUM(E87:$E$98)</f>
        <v>1177.5769683253998</v>
      </c>
      <c r="H87">
        <f>+SUM(G87:$G$98)</f>
        <v>7138.8029646632294</v>
      </c>
      <c r="I87">
        <f>+SUM(F87:$F$98)</f>
        <v>8624.926965139106</v>
      </c>
      <c r="J87">
        <f>+SUM(I87:$I$98)</f>
        <v>38639.224012372717</v>
      </c>
    </row>
    <row r="88" spans="1:10" x14ac:dyDescent="0.25">
      <c r="A88">
        <f>+Probs_Hombres!A87</f>
        <v>85</v>
      </c>
      <c r="B88">
        <f>+Probs_Hombres!B87</f>
        <v>9.4397727052909497E-2</v>
      </c>
      <c r="C88">
        <f t="shared" si="7"/>
        <v>37210.59646051257</v>
      </c>
      <c r="D88">
        <f t="shared" si="4"/>
        <v>3512.5957281554292</v>
      </c>
      <c r="E88">
        <f t="shared" si="5"/>
        <v>120.43729398957137</v>
      </c>
      <c r="F88">
        <f t="shared" si="6"/>
        <v>1326.8834924271998</v>
      </c>
      <c r="G88">
        <f>+SUM(E88:$E$98)</f>
        <v>1053.2057217881206</v>
      </c>
      <c r="H88">
        <f>+SUM(G88:$G$98)</f>
        <v>5961.2259963378292</v>
      </c>
      <c r="I88">
        <f>+SUM(F88:$F$98)</f>
        <v>7115.6220366160487</v>
      </c>
      <c r="J88">
        <f>+SUM(I88:$I$98)</f>
        <v>30014.297047233609</v>
      </c>
    </row>
    <row r="89" spans="1:10" x14ac:dyDescent="0.25">
      <c r="A89">
        <f>+Probs_Hombres!A88</f>
        <v>86</v>
      </c>
      <c r="B89">
        <f>+Probs_Hombres!B88</f>
        <v>0.10705943181263999</v>
      </c>
      <c r="C89">
        <f t="shared" si="7"/>
        <v>33698.000732357141</v>
      </c>
      <c r="D89">
        <f t="shared" si="4"/>
        <v>3607.6888116280825</v>
      </c>
      <c r="E89">
        <f t="shared" si="5"/>
        <v>118.94016881167624</v>
      </c>
      <c r="F89">
        <f t="shared" si="6"/>
        <v>1155.4122179596591</v>
      </c>
      <c r="G89">
        <f>+SUM(E89:$E$98)</f>
        <v>932.76842779854906</v>
      </c>
      <c r="H89">
        <f>+SUM(G89:$G$98)</f>
        <v>4908.0202745497081</v>
      </c>
      <c r="I89">
        <f>+SUM(F89:$F$98)</f>
        <v>5788.7385441888482</v>
      </c>
      <c r="J89">
        <f>+SUM(I89:$I$98)</f>
        <v>22898.675010617564</v>
      </c>
    </row>
    <row r="90" spans="1:10" x14ac:dyDescent="0.25">
      <c r="A90">
        <f>+Probs_Hombres!A89</f>
        <v>87</v>
      </c>
      <c r="B90">
        <f>+Probs_Hombres!B89</f>
        <v>0.12381758880711501</v>
      </c>
      <c r="C90">
        <f t="shared" si="7"/>
        <v>30090.311920729058</v>
      </c>
      <c r="D90">
        <f t="shared" si="4"/>
        <v>3725.7098684786615</v>
      </c>
      <c r="E90">
        <f t="shared" si="5"/>
        <v>118.10687370089673</v>
      </c>
      <c r="F90">
        <f t="shared" si="6"/>
        <v>992.03311768799597</v>
      </c>
      <c r="G90">
        <f>+SUM(E90:$E$98)</f>
        <v>813.82825898687292</v>
      </c>
      <c r="H90">
        <f>+SUM(G90:$G$98)</f>
        <v>3975.2518467511591</v>
      </c>
      <c r="I90">
        <f>+SUM(F90:$F$98)</f>
        <v>4633.3263262291885</v>
      </c>
      <c r="J90">
        <f>+SUM(I90:$I$98)</f>
        <v>17109.936466428713</v>
      </c>
    </row>
    <row r="91" spans="1:10" x14ac:dyDescent="0.25">
      <c r="A91">
        <f>+Probs_Hombres!A90</f>
        <v>88</v>
      </c>
      <c r="B91">
        <f>+Probs_Hombres!B90</f>
        <v>0.139828129273494</v>
      </c>
      <c r="C91">
        <f t="shared" si="7"/>
        <v>26364.602052250397</v>
      </c>
      <c r="D91">
        <f t="shared" si="4"/>
        <v>3686.5129840062946</v>
      </c>
      <c r="E91">
        <f t="shared" si="5"/>
        <v>112.36953151957258</v>
      </c>
      <c r="F91">
        <f t="shared" si="6"/>
        <v>835.77112407602237</v>
      </c>
      <c r="G91">
        <f>+SUM(E91:$E$98)</f>
        <v>695.72138528597623</v>
      </c>
      <c r="H91">
        <f>+SUM(G91:$G$98)</f>
        <v>3161.4235877642864</v>
      </c>
      <c r="I91">
        <f>+SUM(F91:$F$98)</f>
        <v>3641.2932085411926</v>
      </c>
      <c r="J91">
        <f>+SUM(I91:$I$98)</f>
        <v>12476.610140199526</v>
      </c>
    </row>
    <row r="92" spans="1:10" x14ac:dyDescent="0.25">
      <c r="A92">
        <f>+Probs_Hombres!A91</f>
        <v>89</v>
      </c>
      <c r="B92">
        <f>+Probs_Hombres!B91</f>
        <v>0.14502248124206699</v>
      </c>
      <c r="C92">
        <f t="shared" si="7"/>
        <v>22678.089068244102</v>
      </c>
      <c r="D92">
        <f t="shared" si="4"/>
        <v>3288.8327465053553</v>
      </c>
      <c r="E92">
        <f t="shared" si="5"/>
        <v>96.392057651553287</v>
      </c>
      <c r="F92">
        <f t="shared" si="6"/>
        <v>691.25654932275665</v>
      </c>
      <c r="G92">
        <f>+SUM(E92:$E$98)</f>
        <v>583.35185376640356</v>
      </c>
      <c r="H92">
        <f>+SUM(G92:$G$98)</f>
        <v>2465.70220247831</v>
      </c>
      <c r="I92">
        <f>+SUM(F92:$F$98)</f>
        <v>2805.5220844651703</v>
      </c>
      <c r="J92">
        <f>+SUM(I92:$I$98)</f>
        <v>8835.3169316583317</v>
      </c>
    </row>
    <row r="93" spans="1:10" x14ac:dyDescent="0.25">
      <c r="A93">
        <f>+Probs_Hombres!A92</f>
        <v>90</v>
      </c>
      <c r="B93">
        <f>+Probs_Hombres!B92</f>
        <v>0.14743913339932599</v>
      </c>
      <c r="C93">
        <f t="shared" si="7"/>
        <v>19389.256321738747</v>
      </c>
      <c r="D93">
        <f t="shared" si="4"/>
        <v>2858.7351493345632</v>
      </c>
      <c r="E93">
        <f t="shared" si="5"/>
        <v>80.563819049707689</v>
      </c>
      <c r="F93">
        <f t="shared" si="6"/>
        <v>568.2777013126356</v>
      </c>
      <c r="G93">
        <f>+SUM(E93:$E$98)</f>
        <v>486.95979611485029</v>
      </c>
      <c r="H93">
        <f>+SUM(G93:$G$98)</f>
        <v>1882.3503487119065</v>
      </c>
      <c r="I93">
        <f>+SUM(F93:$F$98)</f>
        <v>2114.2655351424132</v>
      </c>
      <c r="J93">
        <f>+SUM(I93:$I$98)</f>
        <v>6029.7948471931632</v>
      </c>
    </row>
    <row r="94" spans="1:10" x14ac:dyDescent="0.25">
      <c r="A94">
        <f>+Probs_Hombres!A93</f>
        <v>91</v>
      </c>
      <c r="B94">
        <f>+Probs_Hombres!B93</f>
        <v>0.160751076812814</v>
      </c>
      <c r="C94">
        <f t="shared" si="7"/>
        <v>16530.521172404184</v>
      </c>
      <c r="D94">
        <f t="shared" si="4"/>
        <v>2657.2990787409926</v>
      </c>
      <c r="E94">
        <f t="shared" si="5"/>
        <v>72.006751963524309</v>
      </c>
      <c r="F94">
        <f t="shared" si="6"/>
        <v>465.85704759705732</v>
      </c>
      <c r="G94">
        <f>+SUM(E94:$E$98)</f>
        <v>406.39597706514257</v>
      </c>
      <c r="H94">
        <f>+SUM(G94:$G$98)</f>
        <v>1395.3905525970563</v>
      </c>
      <c r="I94">
        <f>+SUM(F94:$F$98)</f>
        <v>1545.9878338297779</v>
      </c>
      <c r="J94">
        <f>+SUM(I94:$I$98)</f>
        <v>3915.5293120507499</v>
      </c>
    </row>
    <row r="95" spans="1:10" x14ac:dyDescent="0.25">
      <c r="A95">
        <f>+Probs_Hombres!A94</f>
        <v>92</v>
      </c>
      <c r="B95">
        <f>+Probs_Hombres!B94</f>
        <v>0.17992996212797599</v>
      </c>
      <c r="C95">
        <f t="shared" si="7"/>
        <v>13873.222093663191</v>
      </c>
      <c r="D95">
        <f t="shared" si="4"/>
        <v>2496.2083259058181</v>
      </c>
      <c r="E95">
        <f t="shared" si="5"/>
        <v>65.039961068124555</v>
      </c>
      <c r="F95">
        <f t="shared" si="6"/>
        <v>375.93271687979995</v>
      </c>
      <c r="G95">
        <f>+SUM(E95:$E$98)</f>
        <v>334.38922510161831</v>
      </c>
      <c r="H95">
        <f>+SUM(G95:$G$98)</f>
        <v>988.99457553191382</v>
      </c>
      <c r="I95">
        <f>+SUM(F95:$F$98)</f>
        <v>1080.1307862327205</v>
      </c>
      <c r="J95">
        <f>+SUM(I95:$I$98)</f>
        <v>2369.5414782209718</v>
      </c>
    </row>
    <row r="96" spans="1:10" x14ac:dyDescent="0.25">
      <c r="A96">
        <f>+Probs_Hombres!A95</f>
        <v>93</v>
      </c>
      <c r="B96">
        <f>+Probs_Hombres!B95</f>
        <v>0.19196617320968801</v>
      </c>
      <c r="C96">
        <f t="shared" si="7"/>
        <v>11377.013767757373</v>
      </c>
      <c r="D96">
        <f t="shared" si="4"/>
        <v>2184.0017955503172</v>
      </c>
      <c r="E96">
        <f t="shared" si="5"/>
        <v>54.71659921829059</v>
      </c>
      <c r="F96">
        <f t="shared" si="6"/>
        <v>296.4338051624523</v>
      </c>
      <c r="G96">
        <f>+SUM(E96:$E$98)</f>
        <v>269.34926403349374</v>
      </c>
      <c r="H96">
        <f>+SUM(G96:$G$98)</f>
        <v>654.6053504302954</v>
      </c>
      <c r="I96">
        <f>+SUM(F96:$F$98)</f>
        <v>704.19806935292058</v>
      </c>
      <c r="J96">
        <f>+SUM(I96:$I$98)</f>
        <v>1289.4106919882515</v>
      </c>
    </row>
    <row r="97" spans="1:10" x14ac:dyDescent="0.25">
      <c r="A97">
        <f>+Probs_Hombres!A96</f>
        <v>94</v>
      </c>
      <c r="B97">
        <f>+Probs_Hombres!B96</f>
        <v>0.19872536729401299</v>
      </c>
      <c r="C97">
        <f t="shared" si="7"/>
        <v>9193.0119722070558</v>
      </c>
      <c r="D97">
        <f t="shared" si="4"/>
        <v>1826.8846807151058</v>
      </c>
      <c r="E97">
        <f t="shared" si="5"/>
        <v>44.0092432336046</v>
      </c>
      <c r="F97">
        <f t="shared" si="6"/>
        <v>230.31590574560576</v>
      </c>
      <c r="G97">
        <f>+SUM(E97:$E$98)</f>
        <v>214.63266481520316</v>
      </c>
      <c r="H97">
        <f>+SUM(G97:$G$98)</f>
        <v>385.25608639680172</v>
      </c>
      <c r="I97">
        <f>+SUM(F97:$F$98)</f>
        <v>407.76426419046828</v>
      </c>
      <c r="J97">
        <f>+SUM(I97:$I$98)</f>
        <v>585.21262263533083</v>
      </c>
    </row>
    <row r="98" spans="1:10" x14ac:dyDescent="0.25">
      <c r="A98">
        <f>+Probs_Hombres!A97</f>
        <v>95</v>
      </c>
      <c r="B98">
        <f>+Probs_Hombres!B97</f>
        <v>1</v>
      </c>
      <c r="C98">
        <f t="shared" si="7"/>
        <v>7366.12729149195</v>
      </c>
      <c r="D98">
        <f t="shared" si="4"/>
        <v>7366.12729149195</v>
      </c>
      <c r="E98">
        <f t="shared" si="5"/>
        <v>170.62342158159856</v>
      </c>
      <c r="F98">
        <f t="shared" si="6"/>
        <v>177.44835844486252</v>
      </c>
      <c r="G98">
        <f>+SUM(E98:$E$98)</f>
        <v>170.62342158159856</v>
      </c>
      <c r="H98">
        <f>+SUM(G98:$G$98)</f>
        <v>170.62342158159856</v>
      </c>
      <c r="I98">
        <f>+SUM(F98:$F$98)</f>
        <v>177.44835844486252</v>
      </c>
      <c r="J98">
        <f>+SUM(I98:$I$98)</f>
        <v>177.44835844486252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Probs_Hombres</vt:lpstr>
      <vt:lpstr>Probs_Mujeres</vt:lpstr>
      <vt:lpstr>Mujeres_lxt</vt:lpstr>
      <vt:lpstr>Hombres_lxt</vt:lpstr>
      <vt:lpstr>seguros de vida entera</vt:lpstr>
      <vt:lpstr>TABLA SIMBOLOS CONMUTADOS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UserMath</dc:creator>
  <cp:lastModifiedBy>UserMath</cp:lastModifiedBy>
  <dcterms:created xsi:type="dcterms:W3CDTF">2018-10-18T03:40:36Z</dcterms:created>
  <dcterms:modified xsi:type="dcterms:W3CDTF">2018-11-06T20:57:33Z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VisualBasic" visible="true"/>
      </mso:documentControls>
    </mso:qat>
  </mso:ribbon>
</mso:customUI>
</file>